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bcc1a4e60e225b/Active Folder/Programming/PycharmProjects/Stereotaxiccontrol/"/>
    </mc:Choice>
  </mc:AlternateContent>
  <xr:revisionPtr revIDLastSave="369" documentId="8_{C5FEC8E3-01B7-4CE6-A30C-16EEB4E1FDCE}" xr6:coauthVersionLast="47" xr6:coauthVersionMax="47" xr10:uidLastSave="{9FA18972-4703-4DAE-970D-57E52A2C4087}"/>
  <bookViews>
    <workbookView minimized="1" xWindow="20" yWindow="20" windowWidth="19180" windowHeight="10180" activeTab="1" xr2:uid="{91600FFD-6F05-46D3-8830-DE4393442829}"/>
  </bookViews>
  <sheets>
    <sheet name="Parts Sheet - IC debouncer" sheetId="3" r:id="rId1"/>
    <sheet name="Parts Sheet" sheetId="2" r:id="rId2"/>
    <sheet name="Old shee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34" i="2"/>
  <c r="G33" i="2"/>
  <c r="G32" i="2"/>
  <c r="G31" i="2"/>
  <c r="G3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8" i="3"/>
  <c r="G7" i="3"/>
  <c r="G5" i="3"/>
  <c r="G4" i="3"/>
  <c r="G2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8" i="2"/>
  <c r="G7" i="2"/>
  <c r="G5" i="2"/>
  <c r="G4" i="2"/>
  <c r="G3" i="2"/>
  <c r="G2" i="2"/>
  <c r="G29" i="1"/>
  <c r="G3" i="1"/>
  <c r="G4" i="1"/>
  <c r="G5" i="1"/>
  <c r="G7" i="1"/>
  <c r="G8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</calcChain>
</file>

<file path=xl/sharedStrings.xml><?xml version="1.0" encoding="utf-8"?>
<sst xmlns="http://schemas.openxmlformats.org/spreadsheetml/2006/main" count="318" uniqueCount="93">
  <si>
    <t>Digikey.ca</t>
  </si>
  <si>
    <t>296-1577-5-ND</t>
  </si>
  <si>
    <t>T-type GPIO Breakout Expansion Board with Ribbon cable</t>
  </si>
  <si>
    <t>Amazon</t>
  </si>
  <si>
    <t xml:space="preserve">	B089SXW3HD</t>
  </si>
  <si>
    <t>Brass Coupling Joint</t>
  </si>
  <si>
    <t>B0D3TLQCFH</t>
  </si>
  <si>
    <t>7 inch LCD monitor</t>
  </si>
  <si>
    <t>B0CRRB1GFN</t>
  </si>
  <si>
    <t>Round button tactile switch (12x12x7.3)</t>
  </si>
  <si>
    <t>WHAT IS THE MS1MS2MS3 dips set at???</t>
  </si>
  <si>
    <t>What is I turn the steps lower? Picture in onenote posersonal</t>
  </si>
  <si>
    <t>10kΩ Resistor</t>
  </si>
  <si>
    <t>1kΩ Resistor</t>
  </si>
  <si>
    <t>Hex Inverter Schmitt Trigger SN74HC14</t>
  </si>
  <si>
    <t>Raspberry Pi 3</t>
  </si>
  <si>
    <t>Sparkfun</t>
  </si>
  <si>
    <t>ROB-12779</t>
  </si>
  <si>
    <t>Rotary Encoder</t>
  </si>
  <si>
    <t>B07VDMFFBW</t>
  </si>
  <si>
    <t>pishop</t>
  </si>
  <si>
    <t>Bestbuy</t>
  </si>
  <si>
    <t>micro SD Card (min 16gb)</t>
  </si>
  <si>
    <t>Shifft Register SN74HC165N</t>
  </si>
  <si>
    <t xml:space="preserve">3 Position ON/Off/ON Toggle Rocker Switch </t>
  </si>
  <si>
    <t>B085ZPD1FM</t>
  </si>
  <si>
    <t>Option 2:</t>
  </si>
  <si>
    <t>B08RP2SCJ7</t>
  </si>
  <si>
    <t xml:space="preserve">Option 1: </t>
  </si>
  <si>
    <t>EasyDriver_v44 (illustrated in wiring diagram)</t>
  </si>
  <si>
    <t xml:space="preserve">Motor Driver Expansion Board </t>
  </si>
  <si>
    <t>Option 3:</t>
  </si>
  <si>
    <t>B0BLKPQ5NY</t>
  </si>
  <si>
    <t>DRV8825 stepper driver</t>
  </si>
  <si>
    <t>A4988 stepper driver</t>
  </si>
  <si>
    <t>B0CD2F5K4D</t>
  </si>
  <si>
    <t>B0BKF4B1Z4</t>
  </si>
  <si>
    <t>Printable vinyl sticker paper</t>
  </si>
  <si>
    <t>B0CJF87KDM</t>
  </si>
  <si>
    <t>B07CG7VTGD</t>
  </si>
  <si>
    <t>B07PCSL919</t>
  </si>
  <si>
    <t>LM2596S DC-DC stepdown buck converter 3A</t>
  </si>
  <si>
    <t>HDMI ribbon cable with appropriate 90 degree bend on 1 end</t>
  </si>
  <si>
    <t>B07R6CWPH1</t>
  </si>
  <si>
    <t>Item</t>
  </si>
  <si>
    <t>Supplier</t>
  </si>
  <si>
    <t>Code</t>
  </si>
  <si>
    <t>Approx price per</t>
  </si>
  <si>
    <t>Number needed</t>
  </si>
  <si>
    <t>296-8251-5-ND</t>
  </si>
  <si>
    <t>B00W96L85Y</t>
  </si>
  <si>
    <t>NEMA17 stepper motor</t>
  </si>
  <si>
    <t>NEMA17 stepper motor (55+ Ncm torque)</t>
  </si>
  <si>
    <t>B06ZYQNBFR</t>
  </si>
  <si>
    <t>CF14JT1K00CT-ND</t>
  </si>
  <si>
    <t>Digikey</t>
  </si>
  <si>
    <t>CF14JT10K0CT-ND</t>
  </si>
  <si>
    <t>Ceramic Capacitor (10uF, 35V)</t>
  </si>
  <si>
    <t>490-RDEC71E106K2M1H03ACT-ND</t>
  </si>
  <si>
    <t>Limit Switch</t>
  </si>
  <si>
    <t xml:space="preserve"> B01GEA8PQA</t>
  </si>
  <si>
    <t>Power Supply (12V)</t>
  </si>
  <si>
    <t>DIP-16 Round Hole 16 Pin 2.54MM Pitch socket</t>
  </si>
  <si>
    <t>B0D9JGXBJB</t>
  </si>
  <si>
    <t>Power Jack 5.5x2.5mm</t>
  </si>
  <si>
    <t>B0C8THL9NV</t>
  </si>
  <si>
    <t>Heat shrink tubing</t>
  </si>
  <si>
    <t>Wire (28 or 30 gauge)</t>
  </si>
  <si>
    <t>Wire (24 or 26 gauge)</t>
  </si>
  <si>
    <t>M2 bolts</t>
  </si>
  <si>
    <t>M2 nuts</t>
  </si>
  <si>
    <t>M3 bolts</t>
  </si>
  <si>
    <t>M5 tap</t>
  </si>
  <si>
    <t>B0BGNR2G31</t>
  </si>
  <si>
    <t>Prototype board 5x7 universal</t>
  </si>
  <si>
    <t>M3 threaded inserts</t>
  </si>
  <si>
    <t>399-4264-ND</t>
  </si>
  <si>
    <t>Ceramic Capacitor (0.1uF 50V)</t>
  </si>
  <si>
    <t>MAX6818EAP+TCT-ND - Cut Tape (CT)</t>
  </si>
  <si>
    <t>Switch Debouncer - MAX6818EAP+T</t>
  </si>
  <si>
    <t>NOTE:</t>
  </si>
  <si>
    <t>Expandable Braided Sleeving</t>
  </si>
  <si>
    <t xml:space="preserve">	B07S81TNXL</t>
  </si>
  <si>
    <t>GT2 20 tooth pulley 5mm bore</t>
  </si>
  <si>
    <t>GT2 20 tooth pulley 4mm bore</t>
  </si>
  <si>
    <t>B078Z7ZGGF</t>
  </si>
  <si>
    <t>B078Z6YZCY</t>
  </si>
  <si>
    <t>4mm to 5mm Bore Rigid Coupling 20mm Length 9mm Dia Brass Shaft Coupler</t>
  </si>
  <si>
    <t>B0D3TKG5WN</t>
  </si>
  <si>
    <t>Is there a capaciotor in the encoders?</t>
  </si>
  <si>
    <t>Make a tapping guide.</t>
  </si>
  <si>
    <t>Prototype board Solderable BreadBoard</t>
  </si>
  <si>
    <t xml:space="preserve">	B083YTPYYQ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</si>
</sst>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164" fontId="0" fillId="0" borderId="0" xfId="0" applyNumberFormat="1"/>
    <xf numFmtId="164" fontId="3" fillId="0" borderId="0" xfId="0" applyNumberFormat="1" applyFont="1"/>
    <xf numFmtId="164" fontId="3" fillId="0" borderId="0" xfId="1" applyNumberFormat="1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5CA4-82FD-433D-9CB7-496234C7144C}">
  <sheetPr>
    <pageSetUpPr fitToPage="1"/>
  </sheetPr>
  <dimension ref="A1:H38"/>
  <sheetViews>
    <sheetView workbookViewId="0">
      <selection activeCell="F5" sqref="F5"/>
    </sheetView>
  </sheetViews>
  <sheetFormatPr defaultRowHeight="14.5" x14ac:dyDescent="0.35"/>
  <cols>
    <col min="1" max="1" width="12.81640625" customWidth="1"/>
    <col min="2" max="2" width="46.90625" customWidth="1"/>
    <col min="3" max="3" width="9.1796875" bestFit="1" customWidth="1"/>
    <col min="4" max="4" width="30" style="5" bestFit="1" customWidth="1"/>
    <col min="5" max="5" width="14.08984375" style="2" bestFit="1" customWidth="1"/>
    <col min="6" max="6" width="14" bestFit="1" customWidth="1"/>
  </cols>
  <sheetData>
    <row r="1" spans="1:8" x14ac:dyDescent="0.35">
      <c r="A1" s="6" t="s">
        <v>44</v>
      </c>
      <c r="B1" s="6"/>
      <c r="C1" s="6" t="s">
        <v>45</v>
      </c>
      <c r="D1" s="7" t="s">
        <v>46</v>
      </c>
      <c r="E1" s="8" t="s">
        <v>47</v>
      </c>
      <c r="F1" s="6" t="s">
        <v>48</v>
      </c>
    </row>
    <row r="2" spans="1:8" x14ac:dyDescent="0.35">
      <c r="A2" t="s">
        <v>12</v>
      </c>
      <c r="C2" t="s">
        <v>55</v>
      </c>
      <c r="D2" s="5" t="s">
        <v>56</v>
      </c>
      <c r="E2" s="2">
        <v>0.16</v>
      </c>
      <c r="F2">
        <v>6</v>
      </c>
      <c r="G2" s="2">
        <f>E2*F2</f>
        <v>0.96</v>
      </c>
    </row>
    <row r="3" spans="1:8" x14ac:dyDescent="0.35">
      <c r="A3" t="s">
        <v>79</v>
      </c>
      <c r="C3" t="s">
        <v>55</v>
      </c>
      <c r="D3" s="5" t="s">
        <v>78</v>
      </c>
      <c r="E3" s="2">
        <v>16.12</v>
      </c>
      <c r="F3">
        <v>2</v>
      </c>
      <c r="G3" s="2">
        <f>E3*F3</f>
        <v>32.24</v>
      </c>
    </row>
    <row r="4" spans="1:8" x14ac:dyDescent="0.35">
      <c r="A4" t="s">
        <v>77</v>
      </c>
      <c r="C4" t="s">
        <v>55</v>
      </c>
      <c r="D4" s="9" t="s">
        <v>76</v>
      </c>
      <c r="E4" s="2">
        <v>0.35</v>
      </c>
      <c r="F4">
        <v>8</v>
      </c>
      <c r="G4" s="2">
        <f t="shared" ref="G4:G29" si="0">E4*F4</f>
        <v>2.8</v>
      </c>
    </row>
    <row r="5" spans="1:8" x14ac:dyDescent="0.35">
      <c r="A5" t="s">
        <v>18</v>
      </c>
      <c r="C5" t="s">
        <v>3</v>
      </c>
      <c r="D5" s="5" t="s">
        <v>19</v>
      </c>
      <c r="E5" s="3">
        <v>2</v>
      </c>
      <c r="F5">
        <v>3</v>
      </c>
      <c r="G5" s="2">
        <f t="shared" si="0"/>
        <v>6</v>
      </c>
    </row>
    <row r="6" spans="1:8" x14ac:dyDescent="0.35">
      <c r="A6" t="s">
        <v>28</v>
      </c>
      <c r="B6" t="s">
        <v>29</v>
      </c>
      <c r="C6" t="s">
        <v>16</v>
      </c>
      <c r="D6" s="5" t="s">
        <v>17</v>
      </c>
      <c r="E6" s="4">
        <v>18.5</v>
      </c>
      <c r="F6">
        <v>3</v>
      </c>
      <c r="G6" s="2"/>
      <c r="H6" s="1"/>
    </row>
    <row r="7" spans="1:8" x14ac:dyDescent="0.35">
      <c r="A7" t="s">
        <v>26</v>
      </c>
      <c r="B7" t="s">
        <v>30</v>
      </c>
      <c r="C7" t="s">
        <v>3</v>
      </c>
      <c r="D7" s="5" t="s">
        <v>27</v>
      </c>
      <c r="E7" s="4">
        <v>10.4</v>
      </c>
      <c r="F7">
        <v>3</v>
      </c>
      <c r="G7" s="2">
        <f t="shared" si="0"/>
        <v>31.200000000000003</v>
      </c>
      <c r="H7" s="1"/>
    </row>
    <row r="8" spans="1:8" x14ac:dyDescent="0.35">
      <c r="B8" t="s">
        <v>33</v>
      </c>
      <c r="C8" t="s">
        <v>3</v>
      </c>
      <c r="D8" s="5" t="s">
        <v>32</v>
      </c>
      <c r="E8" s="4">
        <v>4</v>
      </c>
      <c r="F8">
        <v>3</v>
      </c>
      <c r="G8" s="2">
        <f t="shared" si="0"/>
        <v>12</v>
      </c>
      <c r="H8" t="s">
        <v>10</v>
      </c>
    </row>
    <row r="9" spans="1:8" x14ac:dyDescent="0.35">
      <c r="A9" t="s">
        <v>31</v>
      </c>
      <c r="B9" t="s">
        <v>30</v>
      </c>
      <c r="C9" t="s">
        <v>3</v>
      </c>
      <c r="D9" s="5" t="s">
        <v>27</v>
      </c>
      <c r="E9" s="4">
        <v>10.4</v>
      </c>
      <c r="F9">
        <v>3</v>
      </c>
      <c r="G9" s="2"/>
      <c r="H9" t="s">
        <v>11</v>
      </c>
    </row>
    <row r="10" spans="1:8" x14ac:dyDescent="0.35">
      <c r="B10" t="s">
        <v>34</v>
      </c>
      <c r="C10" t="s">
        <v>3</v>
      </c>
      <c r="D10" s="5" t="s">
        <v>35</v>
      </c>
      <c r="E10" s="4">
        <v>4</v>
      </c>
      <c r="F10">
        <v>3</v>
      </c>
      <c r="G10" s="2"/>
      <c r="H10" s="1"/>
    </row>
    <row r="11" spans="1:8" x14ac:dyDescent="0.35">
      <c r="E11" s="3"/>
      <c r="G11" s="2"/>
    </row>
    <row r="12" spans="1:8" x14ac:dyDescent="0.35">
      <c r="A12" t="s">
        <v>9</v>
      </c>
      <c r="C12" t="s">
        <v>3</v>
      </c>
      <c r="D12" s="5" t="s">
        <v>39</v>
      </c>
      <c r="E12" s="2">
        <v>0.8</v>
      </c>
      <c r="F12">
        <v>16</v>
      </c>
      <c r="G12" s="2">
        <f t="shared" si="0"/>
        <v>12.8</v>
      </c>
    </row>
    <row r="13" spans="1:8" x14ac:dyDescent="0.35">
      <c r="A13" t="s">
        <v>61</v>
      </c>
      <c r="C13" t="s">
        <v>3</v>
      </c>
      <c r="D13" s="5" t="s">
        <v>60</v>
      </c>
      <c r="E13" s="2">
        <v>17.989999999999998</v>
      </c>
      <c r="F13">
        <v>1</v>
      </c>
      <c r="G13" s="2">
        <f t="shared" si="0"/>
        <v>17.989999999999998</v>
      </c>
    </row>
    <row r="14" spans="1:8" x14ac:dyDescent="0.35">
      <c r="A14" t="s">
        <v>64</v>
      </c>
      <c r="C14" t="s">
        <v>3</v>
      </c>
      <c r="D14" s="5" t="s">
        <v>63</v>
      </c>
      <c r="E14" s="2">
        <v>3.5</v>
      </c>
      <c r="F14">
        <v>1</v>
      </c>
      <c r="G14" s="2">
        <f t="shared" si="0"/>
        <v>3.5</v>
      </c>
    </row>
    <row r="15" spans="1:8" x14ac:dyDescent="0.35">
      <c r="A15" t="s">
        <v>15</v>
      </c>
      <c r="C15" t="s">
        <v>20</v>
      </c>
      <c r="D15" s="5">
        <v>9001</v>
      </c>
      <c r="E15" s="2">
        <v>49.95</v>
      </c>
      <c r="F15">
        <v>1</v>
      </c>
      <c r="G15" s="2">
        <f t="shared" si="0"/>
        <v>49.95</v>
      </c>
    </row>
    <row r="16" spans="1:8" x14ac:dyDescent="0.35">
      <c r="A16" t="s">
        <v>22</v>
      </c>
      <c r="C16" t="s">
        <v>21</v>
      </c>
      <c r="E16" s="2">
        <v>35</v>
      </c>
      <c r="F16">
        <v>1</v>
      </c>
      <c r="G16" s="2">
        <f t="shared" si="0"/>
        <v>35</v>
      </c>
    </row>
    <row r="17" spans="1:7" x14ac:dyDescent="0.35">
      <c r="A17" t="s">
        <v>23</v>
      </c>
      <c r="C17" t="s">
        <v>0</v>
      </c>
      <c r="D17" s="5" t="s">
        <v>49</v>
      </c>
      <c r="E17" s="2">
        <v>2.21</v>
      </c>
      <c r="F17">
        <v>2</v>
      </c>
      <c r="G17" s="2">
        <f t="shared" si="0"/>
        <v>4.42</v>
      </c>
    </row>
    <row r="18" spans="1:7" x14ac:dyDescent="0.35">
      <c r="A18" t="s">
        <v>24</v>
      </c>
      <c r="C18" t="s">
        <v>3</v>
      </c>
      <c r="D18" s="5" t="s">
        <v>25</v>
      </c>
      <c r="E18" s="2">
        <v>2</v>
      </c>
      <c r="F18">
        <v>1</v>
      </c>
      <c r="G18" s="2">
        <f t="shared" si="0"/>
        <v>2</v>
      </c>
    </row>
    <row r="19" spans="1:7" x14ac:dyDescent="0.35">
      <c r="A19" t="s">
        <v>59</v>
      </c>
      <c r="C19" t="s">
        <v>3</v>
      </c>
      <c r="D19" s="5" t="s">
        <v>65</v>
      </c>
      <c r="E19" s="2">
        <v>1</v>
      </c>
      <c r="F19">
        <v>3</v>
      </c>
      <c r="G19" s="2">
        <f t="shared" si="0"/>
        <v>3</v>
      </c>
    </row>
    <row r="20" spans="1:7" x14ac:dyDescent="0.35">
      <c r="A20" t="s">
        <v>2</v>
      </c>
      <c r="C20" t="s">
        <v>3</v>
      </c>
      <c r="D20" s="5" t="s">
        <v>4</v>
      </c>
      <c r="E20" s="2">
        <v>18</v>
      </c>
      <c r="F20">
        <v>1</v>
      </c>
      <c r="G20" s="2">
        <f t="shared" si="0"/>
        <v>18</v>
      </c>
    </row>
    <row r="21" spans="1:7" x14ac:dyDescent="0.35">
      <c r="A21" t="s">
        <v>5</v>
      </c>
      <c r="C21" t="s">
        <v>3</v>
      </c>
      <c r="D21" s="5" t="s">
        <v>6</v>
      </c>
      <c r="E21" s="2">
        <v>2.5</v>
      </c>
      <c r="F21">
        <v>2</v>
      </c>
      <c r="G21" s="2">
        <f t="shared" si="0"/>
        <v>5</v>
      </c>
    </row>
    <row r="22" spans="1:7" x14ac:dyDescent="0.35">
      <c r="A22" t="s">
        <v>62</v>
      </c>
      <c r="C22" t="s">
        <v>3</v>
      </c>
      <c r="D22" s="5" t="s">
        <v>36</v>
      </c>
      <c r="E22" s="2">
        <v>2</v>
      </c>
      <c r="F22">
        <v>6</v>
      </c>
      <c r="G22" s="2">
        <f t="shared" si="0"/>
        <v>12</v>
      </c>
    </row>
    <row r="23" spans="1:7" x14ac:dyDescent="0.35">
      <c r="A23" t="s">
        <v>37</v>
      </c>
      <c r="C23" t="s">
        <v>3</v>
      </c>
      <c r="D23" s="5" t="s">
        <v>38</v>
      </c>
      <c r="E23" s="2">
        <v>0.8</v>
      </c>
      <c r="F23">
        <v>1</v>
      </c>
      <c r="G23" s="2">
        <f t="shared" si="0"/>
        <v>0.8</v>
      </c>
    </row>
    <row r="24" spans="1:7" x14ac:dyDescent="0.35">
      <c r="A24" t="s">
        <v>41</v>
      </c>
      <c r="C24" t="s">
        <v>3</v>
      </c>
      <c r="D24" s="5" t="s">
        <v>40</v>
      </c>
      <c r="E24" s="2">
        <v>2</v>
      </c>
      <c r="F24">
        <v>3</v>
      </c>
      <c r="G24" s="2">
        <f t="shared" si="0"/>
        <v>6</v>
      </c>
    </row>
    <row r="25" spans="1:7" x14ac:dyDescent="0.35">
      <c r="A25" t="s">
        <v>7</v>
      </c>
      <c r="C25" t="s">
        <v>3</v>
      </c>
      <c r="D25" s="5" t="s">
        <v>8</v>
      </c>
      <c r="E25" s="2">
        <v>60</v>
      </c>
      <c r="F25">
        <v>1</v>
      </c>
      <c r="G25" s="2">
        <f t="shared" si="0"/>
        <v>60</v>
      </c>
    </row>
    <row r="26" spans="1:7" x14ac:dyDescent="0.35">
      <c r="A26" t="s">
        <v>42</v>
      </c>
      <c r="C26" t="s">
        <v>3</v>
      </c>
      <c r="D26" s="5" t="s">
        <v>43</v>
      </c>
      <c r="E26" s="2">
        <v>19</v>
      </c>
      <c r="F26">
        <v>1</v>
      </c>
      <c r="G26" s="2">
        <f t="shared" si="0"/>
        <v>19</v>
      </c>
    </row>
    <row r="27" spans="1:7" x14ac:dyDescent="0.35">
      <c r="A27" t="s">
        <v>51</v>
      </c>
      <c r="C27" t="s">
        <v>3</v>
      </c>
      <c r="D27" s="5" t="s">
        <v>50</v>
      </c>
      <c r="E27" s="2">
        <v>28</v>
      </c>
      <c r="F27">
        <v>2</v>
      </c>
      <c r="G27" s="2">
        <f t="shared" si="0"/>
        <v>56</v>
      </c>
    </row>
    <row r="28" spans="1:7" x14ac:dyDescent="0.35">
      <c r="A28" t="s">
        <v>52</v>
      </c>
      <c r="C28" t="s">
        <v>3</v>
      </c>
      <c r="D28" s="5" t="s">
        <v>53</v>
      </c>
      <c r="E28" s="2">
        <v>25</v>
      </c>
      <c r="F28">
        <v>1</v>
      </c>
      <c r="G28" s="2">
        <f t="shared" si="0"/>
        <v>25</v>
      </c>
    </row>
    <row r="29" spans="1:7" x14ac:dyDescent="0.35">
      <c r="A29" t="s">
        <v>74</v>
      </c>
      <c r="C29" t="s">
        <v>3</v>
      </c>
      <c r="D29" s="5" t="s">
        <v>73</v>
      </c>
      <c r="E29" s="2">
        <v>1</v>
      </c>
      <c r="F29">
        <v>3</v>
      </c>
      <c r="G29" s="2">
        <f t="shared" si="0"/>
        <v>3</v>
      </c>
    </row>
    <row r="30" spans="1:7" x14ac:dyDescent="0.35">
      <c r="A30" t="s">
        <v>67</v>
      </c>
    </row>
    <row r="31" spans="1:7" x14ac:dyDescent="0.35">
      <c r="A31" t="s">
        <v>68</v>
      </c>
    </row>
    <row r="32" spans="1:7" x14ac:dyDescent="0.35">
      <c r="A32" t="s">
        <v>66</v>
      </c>
    </row>
    <row r="33" spans="1:1" x14ac:dyDescent="0.35">
      <c r="A33" t="s">
        <v>69</v>
      </c>
    </row>
    <row r="34" spans="1:1" x14ac:dyDescent="0.35">
      <c r="A34" t="s">
        <v>70</v>
      </c>
    </row>
    <row r="35" spans="1:1" x14ac:dyDescent="0.35">
      <c r="A35" t="s">
        <v>71</v>
      </c>
    </row>
    <row r="36" spans="1:1" x14ac:dyDescent="0.35">
      <c r="A36" t="s">
        <v>71</v>
      </c>
    </row>
    <row r="37" spans="1:1" x14ac:dyDescent="0.35">
      <c r="A37" t="s">
        <v>75</v>
      </c>
    </row>
    <row r="38" spans="1:1" x14ac:dyDescent="0.35">
      <c r="A38" t="s">
        <v>72</v>
      </c>
    </row>
  </sheetData>
  <pageMargins left="0.7" right="0.7" top="0.75" bottom="0.75" header="0.3" footer="0.3"/>
  <pageSetup scale="64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BA4C-8C2B-42A8-AF0E-64CF592D7EC7}">
  <sheetPr>
    <pageSetUpPr fitToPage="1"/>
  </sheetPr>
  <dimension ref="A1:I43"/>
  <sheetViews>
    <sheetView tabSelected="1" topLeftCell="B21" workbookViewId="0">
      <selection activeCell="F31" sqref="F31"/>
    </sheetView>
  </sheetViews>
  <sheetFormatPr defaultRowHeight="14.5" x14ac:dyDescent="0.35"/>
  <cols>
    <col min="1" max="1" width="49.54296875" bestFit="1" customWidth="1"/>
    <col min="2" max="2" width="46.90625" customWidth="1"/>
    <col min="3" max="3" width="9.1796875" bestFit="1" customWidth="1"/>
    <col min="4" max="4" width="30" style="5" bestFit="1" customWidth="1"/>
    <col min="5" max="5" width="14.08984375" style="2" bestFit="1" customWidth="1"/>
    <col min="6" max="6" width="14" bestFit="1" customWidth="1"/>
  </cols>
  <sheetData>
    <row r="1" spans="1:9" x14ac:dyDescent="0.35">
      <c r="A1" s="6" t="s">
        <v>44</v>
      </c>
      <c r="B1" s="6"/>
      <c r="C1" s="6" t="s">
        <v>45</v>
      </c>
      <c r="D1" s="7" t="s">
        <v>46</v>
      </c>
      <c r="E1" s="8" t="s">
        <v>47</v>
      </c>
      <c r="F1" s="6" t="s">
        <v>48</v>
      </c>
    </row>
    <row r="2" spans="1:9" x14ac:dyDescent="0.35">
      <c r="A2" t="s">
        <v>12</v>
      </c>
      <c r="C2" t="s">
        <v>55</v>
      </c>
      <c r="D2" s="5" t="s">
        <v>56</v>
      </c>
      <c r="E2" s="2">
        <v>0.16</v>
      </c>
      <c r="F2">
        <v>24</v>
      </c>
      <c r="G2" s="2">
        <f>E2*F2</f>
        <v>3.84</v>
      </c>
    </row>
    <row r="3" spans="1:9" x14ac:dyDescent="0.35">
      <c r="A3" t="s">
        <v>13</v>
      </c>
      <c r="C3" t="s">
        <v>55</v>
      </c>
      <c r="D3" s="5" t="s">
        <v>54</v>
      </c>
      <c r="E3" s="2">
        <v>0.16</v>
      </c>
      <c r="F3">
        <v>24</v>
      </c>
      <c r="G3" s="2">
        <f t="shared" ref="G3:G30" si="0">E3*F3</f>
        <v>3.84</v>
      </c>
    </row>
    <row r="4" spans="1:9" x14ac:dyDescent="0.35">
      <c r="A4" t="s">
        <v>77</v>
      </c>
      <c r="C4" t="s">
        <v>55</v>
      </c>
      <c r="D4" s="9" t="s">
        <v>76</v>
      </c>
      <c r="E4" s="2">
        <v>0.35</v>
      </c>
      <c r="F4">
        <v>24</v>
      </c>
      <c r="G4" s="2">
        <f t="shared" si="0"/>
        <v>8.3999999999999986</v>
      </c>
      <c r="I4" t="s">
        <v>80</v>
      </c>
    </row>
    <row r="5" spans="1:9" x14ac:dyDescent="0.35">
      <c r="A5" t="s">
        <v>18</v>
      </c>
      <c r="C5" t="s">
        <v>3</v>
      </c>
      <c r="D5" s="5" t="s">
        <v>19</v>
      </c>
      <c r="E5" s="3">
        <v>2</v>
      </c>
      <c r="F5">
        <v>3</v>
      </c>
      <c r="G5" s="2">
        <f t="shared" si="0"/>
        <v>6</v>
      </c>
    </row>
    <row r="6" spans="1:9" x14ac:dyDescent="0.35">
      <c r="A6" t="s">
        <v>28</v>
      </c>
      <c r="B6" t="s">
        <v>29</v>
      </c>
      <c r="C6" t="s">
        <v>16</v>
      </c>
      <c r="D6" s="5" t="s">
        <v>17</v>
      </c>
      <c r="E6" s="4">
        <v>18.5</v>
      </c>
      <c r="F6">
        <v>3</v>
      </c>
      <c r="G6" s="2"/>
      <c r="H6" s="1"/>
    </row>
    <row r="7" spans="1:9" x14ac:dyDescent="0.35">
      <c r="A7" t="s">
        <v>26</v>
      </c>
      <c r="B7" t="s">
        <v>30</v>
      </c>
      <c r="C7" t="s">
        <v>3</v>
      </c>
      <c r="D7" s="5" t="s">
        <v>27</v>
      </c>
      <c r="E7" s="4">
        <v>3.5</v>
      </c>
      <c r="F7">
        <v>3</v>
      </c>
      <c r="G7" s="2">
        <f t="shared" si="0"/>
        <v>10.5</v>
      </c>
      <c r="H7" s="1"/>
    </row>
    <row r="8" spans="1:9" x14ac:dyDescent="0.35">
      <c r="B8" t="s">
        <v>33</v>
      </c>
      <c r="C8" t="s">
        <v>3</v>
      </c>
      <c r="D8" s="5" t="s">
        <v>32</v>
      </c>
      <c r="E8" s="4">
        <v>4</v>
      </c>
      <c r="F8">
        <v>3</v>
      </c>
      <c r="G8" s="2">
        <f t="shared" si="0"/>
        <v>12</v>
      </c>
      <c r="H8" t="s">
        <v>10</v>
      </c>
    </row>
    <row r="9" spans="1:9" x14ac:dyDescent="0.35">
      <c r="A9" t="s">
        <v>31</v>
      </c>
      <c r="B9" t="s">
        <v>30</v>
      </c>
      <c r="C9" t="s">
        <v>3</v>
      </c>
      <c r="D9" s="5" t="s">
        <v>27</v>
      </c>
      <c r="E9" s="4">
        <v>3.5</v>
      </c>
      <c r="F9">
        <v>3</v>
      </c>
      <c r="G9" s="2"/>
      <c r="H9" t="s">
        <v>11</v>
      </c>
    </row>
    <row r="10" spans="1:9" x14ac:dyDescent="0.35">
      <c r="B10" t="s">
        <v>34</v>
      </c>
      <c r="C10" t="s">
        <v>3</v>
      </c>
      <c r="D10" s="5" t="s">
        <v>35</v>
      </c>
      <c r="E10" s="4">
        <v>4</v>
      </c>
      <c r="F10">
        <v>3</v>
      </c>
      <c r="G10" s="2"/>
      <c r="H10" s="1"/>
    </row>
    <row r="11" spans="1:9" x14ac:dyDescent="0.35">
      <c r="A11" t="s">
        <v>14</v>
      </c>
      <c r="C11" t="s">
        <v>0</v>
      </c>
      <c r="D11" s="5" t="s">
        <v>1</v>
      </c>
      <c r="E11" s="3">
        <v>1.38</v>
      </c>
      <c r="F11">
        <v>4</v>
      </c>
      <c r="G11" s="2">
        <f t="shared" si="0"/>
        <v>5.52</v>
      </c>
      <c r="H11" t="s">
        <v>89</v>
      </c>
    </row>
    <row r="12" spans="1:9" x14ac:dyDescent="0.35">
      <c r="A12" t="s">
        <v>9</v>
      </c>
      <c r="C12" t="s">
        <v>3</v>
      </c>
      <c r="D12" s="5" t="s">
        <v>39</v>
      </c>
      <c r="E12" s="2">
        <v>0.8</v>
      </c>
      <c r="F12">
        <v>16</v>
      </c>
      <c r="G12" s="2">
        <f t="shared" si="0"/>
        <v>12.8</v>
      </c>
      <c r="H12" t="s">
        <v>90</v>
      </c>
    </row>
    <row r="13" spans="1:9" x14ac:dyDescent="0.35">
      <c r="A13" t="s">
        <v>61</v>
      </c>
      <c r="C13" t="s">
        <v>3</v>
      </c>
      <c r="D13" s="5" t="s">
        <v>60</v>
      </c>
      <c r="E13" s="2">
        <v>17.989999999999998</v>
      </c>
      <c r="F13">
        <v>1</v>
      </c>
      <c r="G13" s="2">
        <f t="shared" si="0"/>
        <v>17.989999999999998</v>
      </c>
    </row>
    <row r="14" spans="1:9" x14ac:dyDescent="0.35">
      <c r="A14" t="s">
        <v>64</v>
      </c>
      <c r="C14" t="s">
        <v>3</v>
      </c>
      <c r="D14" s="5" t="s">
        <v>63</v>
      </c>
      <c r="E14" s="2">
        <v>3.5</v>
      </c>
      <c r="F14">
        <v>1</v>
      </c>
      <c r="G14" s="2">
        <f t="shared" si="0"/>
        <v>3.5</v>
      </c>
    </row>
    <row r="15" spans="1:9" x14ac:dyDescent="0.35">
      <c r="A15" t="s">
        <v>15</v>
      </c>
      <c r="C15" t="s">
        <v>20</v>
      </c>
      <c r="D15" s="5">
        <v>9001</v>
      </c>
      <c r="E15" s="2">
        <v>49.95</v>
      </c>
      <c r="F15">
        <v>1</v>
      </c>
      <c r="G15" s="2">
        <f t="shared" si="0"/>
        <v>49.95</v>
      </c>
    </row>
    <row r="16" spans="1:9" x14ac:dyDescent="0.35">
      <c r="A16" t="s">
        <v>22</v>
      </c>
      <c r="C16" t="s">
        <v>21</v>
      </c>
      <c r="E16" s="2">
        <v>35</v>
      </c>
      <c r="F16">
        <v>1</v>
      </c>
      <c r="G16" s="2">
        <f t="shared" si="0"/>
        <v>35</v>
      </c>
    </row>
    <row r="17" spans="1:7" x14ac:dyDescent="0.35">
      <c r="A17" t="s">
        <v>23</v>
      </c>
      <c r="C17" t="s">
        <v>0</v>
      </c>
      <c r="D17" s="5" t="s">
        <v>49</v>
      </c>
      <c r="E17" s="2">
        <v>2.21</v>
      </c>
      <c r="F17">
        <v>2</v>
      </c>
      <c r="G17" s="2">
        <f t="shared" si="0"/>
        <v>4.42</v>
      </c>
    </row>
    <row r="18" spans="1:7" x14ac:dyDescent="0.35">
      <c r="A18" t="s">
        <v>24</v>
      </c>
      <c r="C18" t="s">
        <v>3</v>
      </c>
      <c r="D18" s="5" t="s">
        <v>25</v>
      </c>
      <c r="E18" s="2">
        <v>2</v>
      </c>
      <c r="F18">
        <v>1</v>
      </c>
      <c r="G18" s="2">
        <f t="shared" si="0"/>
        <v>2</v>
      </c>
    </row>
    <row r="19" spans="1:7" x14ac:dyDescent="0.35">
      <c r="A19" t="s">
        <v>59</v>
      </c>
      <c r="C19" t="s">
        <v>3</v>
      </c>
      <c r="D19" s="5" t="s">
        <v>65</v>
      </c>
      <c r="E19" s="2">
        <v>1</v>
      </c>
      <c r="F19">
        <v>3</v>
      </c>
      <c r="G19" s="2">
        <f t="shared" si="0"/>
        <v>3</v>
      </c>
    </row>
    <row r="20" spans="1:7" x14ac:dyDescent="0.35">
      <c r="A20" t="s">
        <v>2</v>
      </c>
      <c r="C20" t="s">
        <v>3</v>
      </c>
      <c r="D20" s="5" t="s">
        <v>4</v>
      </c>
      <c r="E20" s="2">
        <v>18</v>
      </c>
      <c r="F20">
        <v>1</v>
      </c>
      <c r="G20" s="2">
        <f t="shared" si="0"/>
        <v>18</v>
      </c>
    </row>
    <row r="21" spans="1:7" x14ac:dyDescent="0.35">
      <c r="A21" t="s">
        <v>5</v>
      </c>
      <c r="C21" t="s">
        <v>3</v>
      </c>
      <c r="D21" s="5" t="s">
        <v>6</v>
      </c>
      <c r="E21" s="2">
        <v>2.5</v>
      </c>
      <c r="F21">
        <v>2</v>
      </c>
      <c r="G21" s="2">
        <f t="shared" si="0"/>
        <v>5</v>
      </c>
    </row>
    <row r="22" spans="1:7" x14ac:dyDescent="0.35">
      <c r="A22" t="s">
        <v>62</v>
      </c>
      <c r="C22" t="s">
        <v>3</v>
      </c>
      <c r="D22" s="5" t="s">
        <v>36</v>
      </c>
      <c r="E22" s="2">
        <v>2</v>
      </c>
      <c r="F22">
        <v>6</v>
      </c>
      <c r="G22" s="2">
        <f t="shared" si="0"/>
        <v>12</v>
      </c>
    </row>
    <row r="23" spans="1:7" x14ac:dyDescent="0.35">
      <c r="A23" t="s">
        <v>37</v>
      </c>
      <c r="C23" t="s">
        <v>3</v>
      </c>
      <c r="D23" s="5" t="s">
        <v>38</v>
      </c>
      <c r="E23" s="2">
        <v>0.8</v>
      </c>
      <c r="F23">
        <v>1</v>
      </c>
      <c r="G23" s="2">
        <f t="shared" si="0"/>
        <v>0.8</v>
      </c>
    </row>
    <row r="24" spans="1:7" x14ac:dyDescent="0.35">
      <c r="A24" t="s">
        <v>41</v>
      </c>
      <c r="C24" t="s">
        <v>3</v>
      </c>
      <c r="D24" s="5" t="s">
        <v>40</v>
      </c>
      <c r="E24" s="2">
        <v>2</v>
      </c>
      <c r="F24">
        <v>3</v>
      </c>
      <c r="G24" s="2">
        <f t="shared" si="0"/>
        <v>6</v>
      </c>
    </row>
    <row r="25" spans="1:7" x14ac:dyDescent="0.35">
      <c r="A25" t="s">
        <v>7</v>
      </c>
      <c r="C25" t="s">
        <v>3</v>
      </c>
      <c r="D25" s="5" t="s">
        <v>8</v>
      </c>
      <c r="E25" s="2">
        <v>60</v>
      </c>
      <c r="F25">
        <v>1</v>
      </c>
      <c r="G25" s="2">
        <f t="shared" si="0"/>
        <v>60</v>
      </c>
    </row>
    <row r="26" spans="1:7" x14ac:dyDescent="0.35">
      <c r="A26" t="s">
        <v>42</v>
      </c>
      <c r="C26" t="s">
        <v>3</v>
      </c>
      <c r="D26" s="5" t="s">
        <v>43</v>
      </c>
      <c r="E26" s="2">
        <v>19</v>
      </c>
      <c r="F26">
        <v>1</v>
      </c>
      <c r="G26" s="2">
        <f t="shared" si="0"/>
        <v>19</v>
      </c>
    </row>
    <row r="27" spans="1:7" x14ac:dyDescent="0.35">
      <c r="A27" t="s">
        <v>51</v>
      </c>
      <c r="C27" t="s">
        <v>3</v>
      </c>
      <c r="D27" s="5" t="s">
        <v>50</v>
      </c>
      <c r="E27" s="2">
        <v>28</v>
      </c>
      <c r="F27">
        <v>2</v>
      </c>
      <c r="G27" s="2">
        <f t="shared" si="0"/>
        <v>56</v>
      </c>
    </row>
    <row r="28" spans="1:7" x14ac:dyDescent="0.35">
      <c r="A28" t="s">
        <v>52</v>
      </c>
      <c r="C28" t="s">
        <v>3</v>
      </c>
      <c r="D28" s="5" t="s">
        <v>53</v>
      </c>
      <c r="E28" s="2">
        <v>25</v>
      </c>
      <c r="F28">
        <v>1</v>
      </c>
      <c r="G28" s="2">
        <f t="shared" si="0"/>
        <v>25</v>
      </c>
    </row>
    <row r="29" spans="1:7" x14ac:dyDescent="0.35">
      <c r="A29" t="s">
        <v>74</v>
      </c>
      <c r="C29" t="s">
        <v>3</v>
      </c>
      <c r="D29" s="5" t="s">
        <v>73</v>
      </c>
      <c r="E29" s="2">
        <v>1</v>
      </c>
      <c r="F29">
        <v>3</v>
      </c>
      <c r="G29" s="2">
        <f t="shared" si="0"/>
        <v>3</v>
      </c>
    </row>
    <row r="30" spans="1:7" x14ac:dyDescent="0.35">
      <c r="A30" t="s">
        <v>91</v>
      </c>
      <c r="C30" t="s">
        <v>3</v>
      </c>
      <c r="D30" s="5" t="s">
        <v>92</v>
      </c>
      <c r="E30" s="2">
        <v>5</v>
      </c>
      <c r="F30">
        <v>2</v>
      </c>
      <c r="G30" s="2">
        <f t="shared" si="0"/>
        <v>10</v>
      </c>
    </row>
    <row r="31" spans="1:7" x14ac:dyDescent="0.35">
      <c r="A31" t="s">
        <v>81</v>
      </c>
      <c r="C31" t="s">
        <v>3</v>
      </c>
      <c r="D31" s="5" t="s">
        <v>82</v>
      </c>
      <c r="E31" s="2">
        <v>10</v>
      </c>
      <c r="F31">
        <v>1</v>
      </c>
      <c r="G31" s="2">
        <f t="shared" ref="G31:G32" si="1">E31*F31</f>
        <v>10</v>
      </c>
    </row>
    <row r="32" spans="1:7" x14ac:dyDescent="0.35">
      <c r="A32" t="s">
        <v>83</v>
      </c>
      <c r="C32" t="s">
        <v>3</v>
      </c>
      <c r="D32" s="5" t="s">
        <v>86</v>
      </c>
      <c r="E32" s="2">
        <v>3</v>
      </c>
      <c r="F32">
        <v>1</v>
      </c>
      <c r="G32" s="2">
        <f t="shared" si="1"/>
        <v>3</v>
      </c>
    </row>
    <row r="33" spans="1:7" x14ac:dyDescent="0.35">
      <c r="A33" t="s">
        <v>84</v>
      </c>
      <c r="C33" t="s">
        <v>3</v>
      </c>
      <c r="D33" s="5" t="s">
        <v>85</v>
      </c>
      <c r="E33" s="2">
        <v>3</v>
      </c>
      <c r="F33">
        <v>1</v>
      </c>
      <c r="G33" s="2">
        <f t="shared" ref="G33" si="2">E33*F33</f>
        <v>3</v>
      </c>
    </row>
    <row r="34" spans="1:7" x14ac:dyDescent="0.35">
      <c r="A34" t="s">
        <v>87</v>
      </c>
      <c r="C34" t="s">
        <v>3</v>
      </c>
      <c r="D34" s="5" t="s">
        <v>88</v>
      </c>
      <c r="E34" s="2">
        <v>2</v>
      </c>
      <c r="F34">
        <v>3</v>
      </c>
      <c r="G34" s="2">
        <f t="shared" ref="G34" si="3">E34*F34</f>
        <v>6</v>
      </c>
    </row>
    <row r="35" spans="1:7" x14ac:dyDescent="0.35">
      <c r="A35" t="s">
        <v>67</v>
      </c>
    </row>
    <row r="36" spans="1:7" x14ac:dyDescent="0.35">
      <c r="A36" t="s">
        <v>68</v>
      </c>
    </row>
    <row r="37" spans="1:7" x14ac:dyDescent="0.35">
      <c r="A37" t="s">
        <v>66</v>
      </c>
    </row>
    <row r="38" spans="1:7" x14ac:dyDescent="0.35">
      <c r="A38" t="s">
        <v>69</v>
      </c>
    </row>
    <row r="39" spans="1:7" x14ac:dyDescent="0.35">
      <c r="A39" t="s">
        <v>70</v>
      </c>
    </row>
    <row r="40" spans="1:7" x14ac:dyDescent="0.35">
      <c r="A40" t="s">
        <v>71</v>
      </c>
    </row>
    <row r="41" spans="1:7" x14ac:dyDescent="0.35">
      <c r="A41" t="s">
        <v>71</v>
      </c>
    </row>
    <row r="42" spans="1:7" x14ac:dyDescent="0.35">
      <c r="A42" t="s">
        <v>75</v>
      </c>
    </row>
    <row r="43" spans="1:7" x14ac:dyDescent="0.35">
      <c r="A43" t="s">
        <v>72</v>
      </c>
    </row>
  </sheetData>
  <pageMargins left="0.7" right="0.7" top="0.75" bottom="0.75" header="0.3" footer="0.3"/>
  <pageSetup scale="64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9AFB-6B4A-43B0-9CD9-AA347CD8C7CB}">
  <sheetPr>
    <pageSetUpPr fitToPage="1"/>
  </sheetPr>
  <dimension ref="A1:H38"/>
  <sheetViews>
    <sheetView workbookViewId="0">
      <selection activeCell="A4" sqref="A4:G4"/>
    </sheetView>
  </sheetViews>
  <sheetFormatPr defaultRowHeight="14.5" x14ac:dyDescent="0.35"/>
  <cols>
    <col min="1" max="1" width="12.81640625" customWidth="1"/>
    <col min="2" max="2" width="46.90625" customWidth="1"/>
    <col min="3" max="3" width="9.1796875" bestFit="1" customWidth="1"/>
    <col min="4" max="4" width="30" style="5" bestFit="1" customWidth="1"/>
    <col min="5" max="5" width="14.08984375" style="2" bestFit="1" customWidth="1"/>
    <col min="6" max="6" width="14" bestFit="1" customWidth="1"/>
  </cols>
  <sheetData>
    <row r="1" spans="1:8" x14ac:dyDescent="0.35">
      <c r="A1" s="6" t="s">
        <v>44</v>
      </c>
      <c r="B1" s="6"/>
      <c r="C1" s="6" t="s">
        <v>45</v>
      </c>
      <c r="D1" s="7" t="s">
        <v>46</v>
      </c>
      <c r="E1" s="8" t="s">
        <v>47</v>
      </c>
      <c r="F1" s="6" t="s">
        <v>48</v>
      </c>
    </row>
    <row r="2" spans="1:8" x14ac:dyDescent="0.35">
      <c r="A2" t="s">
        <v>12</v>
      </c>
      <c r="C2" t="s">
        <v>55</v>
      </c>
      <c r="D2" s="5" t="s">
        <v>56</v>
      </c>
      <c r="E2" s="2">
        <v>0.16</v>
      </c>
      <c r="F2">
        <v>24</v>
      </c>
      <c r="G2" s="2">
        <f>E2*F2</f>
        <v>3.84</v>
      </c>
    </row>
    <row r="3" spans="1:8" x14ac:dyDescent="0.35">
      <c r="A3" t="s">
        <v>13</v>
      </c>
      <c r="C3" t="s">
        <v>55</v>
      </c>
      <c r="D3" s="5" t="s">
        <v>54</v>
      </c>
      <c r="E3" s="2">
        <v>0.16</v>
      </c>
      <c r="F3">
        <v>18</v>
      </c>
      <c r="G3" s="2">
        <f t="shared" ref="G3:G29" si="0">E3*F3</f>
        <v>2.88</v>
      </c>
    </row>
    <row r="4" spans="1:8" x14ac:dyDescent="0.35">
      <c r="A4" t="s">
        <v>57</v>
      </c>
      <c r="C4" t="s">
        <v>55</v>
      </c>
      <c r="D4" s="5" t="s">
        <v>58</v>
      </c>
      <c r="E4" s="2">
        <v>1.21</v>
      </c>
      <c r="F4">
        <v>18</v>
      </c>
      <c r="G4" s="2">
        <f t="shared" si="0"/>
        <v>21.78</v>
      </c>
    </row>
    <row r="5" spans="1:8" x14ac:dyDescent="0.35">
      <c r="A5" t="s">
        <v>18</v>
      </c>
      <c r="C5" t="s">
        <v>3</v>
      </c>
      <c r="D5" s="5" t="s">
        <v>19</v>
      </c>
      <c r="E5" s="3">
        <v>2</v>
      </c>
      <c r="F5">
        <v>3</v>
      </c>
      <c r="G5" s="2">
        <f t="shared" si="0"/>
        <v>6</v>
      </c>
    </row>
    <row r="6" spans="1:8" x14ac:dyDescent="0.35">
      <c r="A6" t="s">
        <v>28</v>
      </c>
      <c r="B6" t="s">
        <v>29</v>
      </c>
      <c r="C6" t="s">
        <v>16</v>
      </c>
      <c r="D6" s="5" t="s">
        <v>17</v>
      </c>
      <c r="E6" s="4">
        <v>18.5</v>
      </c>
      <c r="F6">
        <v>3</v>
      </c>
      <c r="G6" s="2"/>
      <c r="H6" s="1"/>
    </row>
    <row r="7" spans="1:8" x14ac:dyDescent="0.35">
      <c r="A7" t="s">
        <v>26</v>
      </c>
      <c r="B7" t="s">
        <v>30</v>
      </c>
      <c r="C7" t="s">
        <v>3</v>
      </c>
      <c r="D7" s="5" t="s">
        <v>27</v>
      </c>
      <c r="E7" s="4">
        <v>10.4</v>
      </c>
      <c r="F7">
        <v>3</v>
      </c>
      <c r="G7" s="2">
        <f t="shared" si="0"/>
        <v>31.200000000000003</v>
      </c>
      <c r="H7" s="1"/>
    </row>
    <row r="8" spans="1:8" x14ac:dyDescent="0.35">
      <c r="B8" t="s">
        <v>33</v>
      </c>
      <c r="C8" t="s">
        <v>3</v>
      </c>
      <c r="D8" s="5" t="s">
        <v>32</v>
      </c>
      <c r="E8" s="4">
        <v>4</v>
      </c>
      <c r="F8">
        <v>3</v>
      </c>
      <c r="G8" s="2">
        <f t="shared" si="0"/>
        <v>12</v>
      </c>
      <c r="H8" t="s">
        <v>10</v>
      </c>
    </row>
    <row r="9" spans="1:8" x14ac:dyDescent="0.35">
      <c r="A9" t="s">
        <v>31</v>
      </c>
      <c r="B9" t="s">
        <v>30</v>
      </c>
      <c r="C9" t="s">
        <v>3</v>
      </c>
      <c r="D9" s="5" t="s">
        <v>27</v>
      </c>
      <c r="E9" s="4">
        <v>10.4</v>
      </c>
      <c r="F9">
        <v>3</v>
      </c>
      <c r="G9" s="2"/>
      <c r="H9" t="s">
        <v>11</v>
      </c>
    </row>
    <row r="10" spans="1:8" x14ac:dyDescent="0.35">
      <c r="B10" t="s">
        <v>34</v>
      </c>
      <c r="C10" t="s">
        <v>3</v>
      </c>
      <c r="D10" s="5" t="s">
        <v>35</v>
      </c>
      <c r="E10" s="4">
        <v>4</v>
      </c>
      <c r="F10">
        <v>3</v>
      </c>
      <c r="G10" s="2"/>
      <c r="H10" s="1"/>
    </row>
    <row r="11" spans="1:8" x14ac:dyDescent="0.35">
      <c r="A11" t="s">
        <v>14</v>
      </c>
      <c r="C11" t="s">
        <v>0</v>
      </c>
      <c r="D11" s="5" t="s">
        <v>1</v>
      </c>
      <c r="E11" s="3">
        <v>1.38</v>
      </c>
      <c r="F11">
        <v>4</v>
      </c>
      <c r="G11" s="2">
        <f t="shared" si="0"/>
        <v>5.52</v>
      </c>
    </row>
    <row r="12" spans="1:8" x14ac:dyDescent="0.35">
      <c r="A12" t="s">
        <v>9</v>
      </c>
      <c r="C12" t="s">
        <v>3</v>
      </c>
      <c r="D12" s="5" t="s">
        <v>39</v>
      </c>
      <c r="E12" s="2">
        <v>0.8</v>
      </c>
      <c r="F12">
        <v>16</v>
      </c>
      <c r="G12" s="2">
        <f t="shared" si="0"/>
        <v>12.8</v>
      </c>
    </row>
    <row r="13" spans="1:8" x14ac:dyDescent="0.35">
      <c r="A13" t="s">
        <v>61</v>
      </c>
      <c r="C13" t="s">
        <v>3</v>
      </c>
      <c r="D13" s="5" t="s">
        <v>60</v>
      </c>
      <c r="E13" s="2">
        <v>17.989999999999998</v>
      </c>
      <c r="F13">
        <v>1</v>
      </c>
      <c r="G13" s="2">
        <f t="shared" si="0"/>
        <v>17.989999999999998</v>
      </c>
    </row>
    <row r="14" spans="1:8" x14ac:dyDescent="0.35">
      <c r="A14" t="s">
        <v>64</v>
      </c>
      <c r="C14" t="s">
        <v>3</v>
      </c>
      <c r="D14" s="5" t="s">
        <v>63</v>
      </c>
      <c r="E14" s="2">
        <v>3.5</v>
      </c>
      <c r="F14">
        <v>1</v>
      </c>
      <c r="G14" s="2">
        <f t="shared" si="0"/>
        <v>3.5</v>
      </c>
    </row>
    <row r="15" spans="1:8" x14ac:dyDescent="0.35">
      <c r="A15" t="s">
        <v>15</v>
      </c>
      <c r="C15" t="s">
        <v>20</v>
      </c>
      <c r="D15" s="5">
        <v>9001</v>
      </c>
      <c r="E15" s="2">
        <v>49.95</v>
      </c>
      <c r="F15">
        <v>1</v>
      </c>
      <c r="G15" s="2">
        <f t="shared" si="0"/>
        <v>49.95</v>
      </c>
    </row>
    <row r="16" spans="1:8" x14ac:dyDescent="0.35">
      <c r="A16" t="s">
        <v>22</v>
      </c>
      <c r="C16" t="s">
        <v>21</v>
      </c>
      <c r="E16" s="2">
        <v>35</v>
      </c>
      <c r="F16">
        <v>1</v>
      </c>
      <c r="G16" s="2">
        <f t="shared" si="0"/>
        <v>35</v>
      </c>
    </row>
    <row r="17" spans="1:7" x14ac:dyDescent="0.35">
      <c r="A17" t="s">
        <v>23</v>
      </c>
      <c r="C17" t="s">
        <v>0</v>
      </c>
      <c r="D17" s="5" t="s">
        <v>49</v>
      </c>
      <c r="E17" s="2">
        <v>2.21</v>
      </c>
      <c r="F17">
        <v>2</v>
      </c>
      <c r="G17" s="2">
        <f t="shared" si="0"/>
        <v>4.42</v>
      </c>
    </row>
    <row r="18" spans="1:7" x14ac:dyDescent="0.35">
      <c r="A18" t="s">
        <v>24</v>
      </c>
      <c r="C18" t="s">
        <v>3</v>
      </c>
      <c r="D18" s="5" t="s">
        <v>25</v>
      </c>
      <c r="E18" s="2">
        <v>2</v>
      </c>
      <c r="F18">
        <v>1</v>
      </c>
      <c r="G18" s="2">
        <f t="shared" si="0"/>
        <v>2</v>
      </c>
    </row>
    <row r="19" spans="1:7" x14ac:dyDescent="0.35">
      <c r="A19" t="s">
        <v>59</v>
      </c>
      <c r="C19" t="s">
        <v>3</v>
      </c>
      <c r="D19" s="5" t="s">
        <v>65</v>
      </c>
      <c r="E19" s="2">
        <v>1</v>
      </c>
      <c r="F19">
        <v>3</v>
      </c>
      <c r="G19" s="2">
        <f t="shared" si="0"/>
        <v>3</v>
      </c>
    </row>
    <row r="20" spans="1:7" x14ac:dyDescent="0.35">
      <c r="A20" t="s">
        <v>2</v>
      </c>
      <c r="C20" t="s">
        <v>3</v>
      </c>
      <c r="D20" s="5" t="s">
        <v>4</v>
      </c>
      <c r="E20" s="2">
        <v>18</v>
      </c>
      <c r="F20">
        <v>1</v>
      </c>
      <c r="G20" s="2">
        <f t="shared" si="0"/>
        <v>18</v>
      </c>
    </row>
    <row r="21" spans="1:7" x14ac:dyDescent="0.35">
      <c r="A21" t="s">
        <v>5</v>
      </c>
      <c r="C21" t="s">
        <v>3</v>
      </c>
      <c r="D21" s="5" t="s">
        <v>6</v>
      </c>
      <c r="E21" s="2">
        <v>2.5</v>
      </c>
      <c r="F21">
        <v>2</v>
      </c>
      <c r="G21" s="2">
        <f t="shared" si="0"/>
        <v>5</v>
      </c>
    </row>
    <row r="22" spans="1:7" x14ac:dyDescent="0.35">
      <c r="A22" t="s">
        <v>62</v>
      </c>
      <c r="C22" t="s">
        <v>3</v>
      </c>
      <c r="D22" s="5" t="s">
        <v>36</v>
      </c>
      <c r="E22" s="2">
        <v>2</v>
      </c>
      <c r="F22">
        <v>6</v>
      </c>
      <c r="G22" s="2">
        <f t="shared" si="0"/>
        <v>12</v>
      </c>
    </row>
    <row r="23" spans="1:7" x14ac:dyDescent="0.35">
      <c r="A23" t="s">
        <v>37</v>
      </c>
      <c r="C23" t="s">
        <v>3</v>
      </c>
      <c r="D23" s="5" t="s">
        <v>38</v>
      </c>
      <c r="E23" s="2">
        <v>0.8</v>
      </c>
      <c r="F23">
        <v>1</v>
      </c>
      <c r="G23" s="2">
        <f t="shared" si="0"/>
        <v>0.8</v>
      </c>
    </row>
    <row r="24" spans="1:7" x14ac:dyDescent="0.35">
      <c r="A24" t="s">
        <v>41</v>
      </c>
      <c r="C24" t="s">
        <v>3</v>
      </c>
      <c r="D24" s="5" t="s">
        <v>40</v>
      </c>
      <c r="E24" s="2">
        <v>2</v>
      </c>
      <c r="F24">
        <v>3</v>
      </c>
      <c r="G24" s="2">
        <f t="shared" si="0"/>
        <v>6</v>
      </c>
    </row>
    <row r="25" spans="1:7" x14ac:dyDescent="0.35">
      <c r="A25" t="s">
        <v>7</v>
      </c>
      <c r="C25" t="s">
        <v>3</v>
      </c>
      <c r="D25" s="5" t="s">
        <v>8</v>
      </c>
      <c r="E25" s="2">
        <v>60</v>
      </c>
      <c r="F25">
        <v>1</v>
      </c>
      <c r="G25" s="2">
        <f t="shared" si="0"/>
        <v>60</v>
      </c>
    </row>
    <row r="26" spans="1:7" x14ac:dyDescent="0.35">
      <c r="A26" t="s">
        <v>42</v>
      </c>
      <c r="C26" t="s">
        <v>3</v>
      </c>
      <c r="D26" s="5" t="s">
        <v>43</v>
      </c>
      <c r="E26" s="2">
        <v>19</v>
      </c>
      <c r="F26">
        <v>1</v>
      </c>
      <c r="G26" s="2">
        <f t="shared" si="0"/>
        <v>19</v>
      </c>
    </row>
    <row r="27" spans="1:7" x14ac:dyDescent="0.35">
      <c r="A27" t="s">
        <v>51</v>
      </c>
      <c r="C27" t="s">
        <v>3</v>
      </c>
      <c r="D27" s="5" t="s">
        <v>50</v>
      </c>
      <c r="E27" s="2">
        <v>28</v>
      </c>
      <c r="F27">
        <v>2</v>
      </c>
      <c r="G27" s="2">
        <f t="shared" si="0"/>
        <v>56</v>
      </c>
    </row>
    <row r="28" spans="1:7" x14ac:dyDescent="0.35">
      <c r="A28" t="s">
        <v>52</v>
      </c>
      <c r="C28" t="s">
        <v>3</v>
      </c>
      <c r="D28" s="5" t="s">
        <v>53</v>
      </c>
      <c r="E28" s="2">
        <v>25</v>
      </c>
      <c r="F28">
        <v>1</v>
      </c>
      <c r="G28" s="2">
        <f t="shared" si="0"/>
        <v>25</v>
      </c>
    </row>
    <row r="29" spans="1:7" x14ac:dyDescent="0.35">
      <c r="A29" t="s">
        <v>74</v>
      </c>
      <c r="C29" t="s">
        <v>3</v>
      </c>
      <c r="D29" s="5" t="s">
        <v>73</v>
      </c>
      <c r="E29" s="2">
        <v>1</v>
      </c>
      <c r="F29">
        <v>3</v>
      </c>
      <c r="G29" s="2">
        <f t="shared" si="0"/>
        <v>3</v>
      </c>
    </row>
    <row r="30" spans="1:7" x14ac:dyDescent="0.35">
      <c r="A30" t="s">
        <v>67</v>
      </c>
    </row>
    <row r="31" spans="1:7" x14ac:dyDescent="0.35">
      <c r="A31" t="s">
        <v>68</v>
      </c>
    </row>
    <row r="32" spans="1:7" x14ac:dyDescent="0.35">
      <c r="A32" t="s">
        <v>66</v>
      </c>
    </row>
    <row r="33" spans="1:1" x14ac:dyDescent="0.35">
      <c r="A33" t="s">
        <v>69</v>
      </c>
    </row>
    <row r="34" spans="1:1" x14ac:dyDescent="0.35">
      <c r="A34" t="s">
        <v>70</v>
      </c>
    </row>
    <row r="35" spans="1:1" x14ac:dyDescent="0.35">
      <c r="A35" t="s">
        <v>71</v>
      </c>
    </row>
    <row r="36" spans="1:1" x14ac:dyDescent="0.35">
      <c r="A36" t="s">
        <v>71</v>
      </c>
    </row>
    <row r="37" spans="1:1" x14ac:dyDescent="0.35">
      <c r="A37" t="s">
        <v>75</v>
      </c>
    </row>
    <row r="38" spans="1:1" x14ac:dyDescent="0.35">
      <c r="A38" t="s">
        <v>72</v>
      </c>
    </row>
  </sheetData>
  <pageMargins left="0.7" right="0.7" top="0.75" bottom="0.75" header="0.3" footer="0.3"/>
  <pageSetup scale="6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Sheet - IC debouncer</vt:lpstr>
      <vt:lpstr>Parts Sheet</vt:lpstr>
      <vt:lpstr>Old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Mulatz</dc:creator>
  <cp:lastModifiedBy>Kirk Mulatz</cp:lastModifiedBy>
  <cp:lastPrinted>2025-09-02T00:37:14Z</cp:lastPrinted>
  <dcterms:created xsi:type="dcterms:W3CDTF">2025-07-25T00:04:22Z</dcterms:created>
  <dcterms:modified xsi:type="dcterms:W3CDTF">2025-09-02T17:28:27Z</dcterms:modified>
</cp:coreProperties>
</file>