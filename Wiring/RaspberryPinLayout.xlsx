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bcc1a4e60e225b/Active Folder/Programming/PycharmProjects/Stereotaxiccontrol/Wiring/"/>
    </mc:Choice>
  </mc:AlternateContent>
  <xr:revisionPtr revIDLastSave="42" documentId="8_{08C0758F-095E-44EE-8951-BCC9659F0E89}" xr6:coauthVersionLast="47" xr6:coauthVersionMax="47" xr10:uidLastSave="{EB37C4C5-B07E-4CA5-9748-5D9E79728E4B}"/>
  <bookViews>
    <workbookView xWindow="28680" yWindow="-120" windowWidth="21840" windowHeight="13020" activeTab="2" xr2:uid="{7ECF0DEC-3A74-4BBF-A655-3F5550588827}"/>
  </bookViews>
  <sheets>
    <sheet name="Sheet1" sheetId="1" r:id="rId1"/>
    <sheet name="StereoPylot SR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19" i="1"/>
  <c r="D19" i="1"/>
  <c r="C20" i="1"/>
  <c r="D20" i="1"/>
  <c r="C21" i="1"/>
  <c r="D21" i="1"/>
  <c r="C22" i="1"/>
  <c r="D22" i="1"/>
  <c r="C23" i="1"/>
  <c r="D23" i="1"/>
  <c r="C24" i="1"/>
  <c r="D24" i="1"/>
  <c r="D6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C7" i="1"/>
  <c r="C8" i="1"/>
  <c r="C9" i="1"/>
  <c r="C10" i="1"/>
  <c r="C11" i="1"/>
  <c r="C12" i="1"/>
  <c r="C13" i="1"/>
  <c r="C14" i="1"/>
  <c r="C15" i="1"/>
  <c r="C16" i="1"/>
  <c r="C17" i="1"/>
  <c r="C18" i="1"/>
  <c r="C6" i="1"/>
</calcChain>
</file>

<file path=xl/sharedStrings.xml><?xml version="1.0" encoding="utf-8"?>
<sst xmlns="http://schemas.openxmlformats.org/spreadsheetml/2006/main" count="143" uniqueCount="85">
  <si>
    <t>Raspberry PI Pin Layout</t>
  </si>
  <si>
    <t>SD Card Slot</t>
  </si>
  <si>
    <t>Connection</t>
  </si>
  <si>
    <t>GPIO</t>
  </si>
  <si>
    <t>Pin Number</t>
  </si>
  <si>
    <t>3v3</t>
  </si>
  <si>
    <t>GND</t>
  </si>
  <si>
    <t>5v</t>
  </si>
  <si>
    <t>Enable ALL</t>
  </si>
  <si>
    <t>dir AP</t>
  </si>
  <si>
    <t>step AP</t>
  </si>
  <si>
    <t>stepper 5V</t>
  </si>
  <si>
    <t>stepper GND</t>
  </si>
  <si>
    <t>dir ML</t>
  </si>
  <si>
    <t>step ML</t>
  </si>
  <si>
    <t>dir DV</t>
  </si>
  <si>
    <t>step DV</t>
  </si>
  <si>
    <t>limit AP</t>
  </si>
  <si>
    <t>limit ML</t>
  </si>
  <si>
    <t>limit DV</t>
  </si>
  <si>
    <t>Limit GND</t>
  </si>
  <si>
    <t>EMERG STOP</t>
  </si>
  <si>
    <t>misc_butA</t>
  </si>
  <si>
    <t>misc_butB</t>
  </si>
  <si>
    <t>LatchPin</t>
  </si>
  <si>
    <t>ClockPin</t>
  </si>
  <si>
    <t>DataPin</t>
  </si>
  <si>
    <t>Button board GND</t>
  </si>
  <si>
    <t>rotoAP_A</t>
  </si>
  <si>
    <t>rotoAP_B</t>
  </si>
  <si>
    <t>rotoML_A</t>
  </si>
  <si>
    <t>rotoML_B</t>
  </si>
  <si>
    <t>rotoDV_A</t>
  </si>
  <si>
    <t>rotoDV_B</t>
  </si>
  <si>
    <t>Button board / Encoder board</t>
  </si>
  <si>
    <t>Encoder Board GND</t>
  </si>
  <si>
    <t>LimitGND</t>
  </si>
  <si>
    <t>Limit AUX</t>
  </si>
  <si>
    <t>hardwiredbutton-1</t>
  </si>
  <si>
    <t>harwiredbutton -2</t>
  </si>
  <si>
    <t>fourthRotoB</t>
  </si>
  <si>
    <t>fourthRotoA</t>
  </si>
  <si>
    <t>fourth step</t>
  </si>
  <si>
    <t>fourth dir</t>
  </si>
  <si>
    <t>harwiredbutton -3</t>
  </si>
  <si>
    <t>hardwiredbutton-4</t>
  </si>
  <si>
    <t>dvinsert</t>
  </si>
  <si>
    <t>syring withdraw</t>
  </si>
  <si>
    <t>fullretract</t>
  </si>
  <si>
    <t>rezero</t>
  </si>
  <si>
    <t>relzeroup5</t>
  </si>
  <si>
    <t>rezerodvabs</t>
  </si>
  <si>
    <t>abszero</t>
  </si>
  <si>
    <t>presetpos</t>
  </si>
  <si>
    <t>makeit</t>
  </si>
  <si>
    <t>engage</t>
  </si>
  <si>
    <t>down</t>
  </si>
  <si>
    <t>up</t>
  </si>
  <si>
    <t>apretract</t>
  </si>
  <si>
    <t>apretur</t>
  </si>
  <si>
    <t>fbregma</t>
  </si>
  <si>
    <t>lambda</t>
  </si>
  <si>
    <t>rat</t>
  </si>
  <si>
    <t>mouse</t>
  </si>
  <si>
    <t>function1</t>
  </si>
  <si>
    <t>arm</t>
  </si>
  <si>
    <t>zeroml</t>
  </si>
  <si>
    <t>dvretract</t>
  </si>
  <si>
    <t>dvreturn</t>
  </si>
  <si>
    <t>zeroap</t>
  </si>
  <si>
    <t>zeroall</t>
  </si>
  <si>
    <t>probe</t>
  </si>
  <si>
    <t>drill</t>
  </si>
  <si>
    <t>coaese&gt;</t>
  </si>
  <si>
    <t>fine</t>
  </si>
  <si>
    <t>zerodv</t>
  </si>
  <si>
    <t>DV is AP encoder</t>
  </si>
  <si>
    <t>AP is DV encoder</t>
  </si>
  <si>
    <t>AP backwards</t>
  </si>
  <si>
    <t>Speed fine</t>
  </si>
  <si>
    <t>DV motor get warm</t>
  </si>
  <si>
    <t>ML motor gets warm</t>
  </si>
  <si>
    <t>Speed Med</t>
  </si>
  <si>
    <t>Speed Coarse</t>
  </si>
  <si>
    <t xml:space="preserve">relactiveDV button not registering in program - works for the test-buttons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</si>
</sst>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0C4E-B887-428F-BA4A-B8D168D00CCA}">
  <sheetPr>
    <pageSetUpPr fitToPage="1"/>
  </sheetPr>
  <dimension ref="A1:F24"/>
  <sheetViews>
    <sheetView topLeftCell="A5" workbookViewId="0">
      <selection activeCell="A5" sqref="A1:F1048576"/>
    </sheetView>
  </sheetViews>
  <sheetFormatPr defaultRowHeight="14.4" x14ac:dyDescent="0.3"/>
  <cols>
    <col min="1" max="1" width="29.88671875" customWidth="1"/>
    <col min="2" max="2" width="14.44140625" style="1" customWidth="1"/>
    <col min="3" max="5" width="11.33203125" style="1" customWidth="1"/>
    <col min="6" max="6" width="15.5546875" bestFit="1" customWidth="1"/>
  </cols>
  <sheetData>
    <row r="1" spans="1:6" x14ac:dyDescent="0.3">
      <c r="A1" t="s">
        <v>0</v>
      </c>
    </row>
    <row r="2" spans="1:6" x14ac:dyDescent="0.3">
      <c r="B2" s="1" t="s">
        <v>1</v>
      </c>
    </row>
    <row r="4" spans="1:6" x14ac:dyDescent="0.3">
      <c r="A4" s="3" t="s">
        <v>2</v>
      </c>
      <c r="B4" s="4" t="s">
        <v>3</v>
      </c>
      <c r="C4" s="4" t="s">
        <v>4</v>
      </c>
      <c r="D4" s="4" t="s">
        <v>4</v>
      </c>
      <c r="E4" s="4" t="s">
        <v>3</v>
      </c>
      <c r="F4" s="3" t="s">
        <v>2</v>
      </c>
    </row>
    <row r="5" spans="1:6" ht="15.6" x14ac:dyDescent="0.3">
      <c r="A5" t="s">
        <v>34</v>
      </c>
      <c r="B5" s="1" t="s">
        <v>5</v>
      </c>
      <c r="C5" s="2">
        <v>1</v>
      </c>
      <c r="D5" s="2">
        <v>2</v>
      </c>
      <c r="E5" s="1" t="s">
        <v>7</v>
      </c>
      <c r="F5" t="s">
        <v>11</v>
      </c>
    </row>
    <row r="6" spans="1:6" ht="15.6" x14ac:dyDescent="0.3">
      <c r="A6" t="s">
        <v>8</v>
      </c>
      <c r="B6" s="1">
        <v>2</v>
      </c>
      <c r="C6" s="2">
        <f>C5+2</f>
        <v>3</v>
      </c>
      <c r="D6" s="2">
        <f>D5+2</f>
        <v>4</v>
      </c>
      <c r="E6" s="1" t="s">
        <v>7</v>
      </c>
    </row>
    <row r="7" spans="1:6" ht="15.6" x14ac:dyDescent="0.3">
      <c r="A7" t="s">
        <v>9</v>
      </c>
      <c r="B7" s="1">
        <v>3</v>
      </c>
      <c r="C7" s="2">
        <f t="shared" ref="C7:D18" si="0">C6+2</f>
        <v>5</v>
      </c>
      <c r="D7" s="2">
        <f t="shared" si="0"/>
        <v>6</v>
      </c>
      <c r="E7" s="1" t="s">
        <v>6</v>
      </c>
      <c r="F7" t="s">
        <v>12</v>
      </c>
    </row>
    <row r="8" spans="1:6" ht="15.6" x14ac:dyDescent="0.3">
      <c r="A8" t="s">
        <v>10</v>
      </c>
      <c r="B8" s="1">
        <v>4</v>
      </c>
      <c r="C8" s="2">
        <f t="shared" si="0"/>
        <v>7</v>
      </c>
      <c r="D8" s="2">
        <f t="shared" si="0"/>
        <v>8</v>
      </c>
      <c r="E8" s="1">
        <v>14</v>
      </c>
    </row>
    <row r="9" spans="1:6" ht="15.6" x14ac:dyDescent="0.3">
      <c r="B9" s="1" t="s">
        <v>6</v>
      </c>
      <c r="C9" s="2">
        <f t="shared" si="0"/>
        <v>9</v>
      </c>
      <c r="D9" s="2">
        <f t="shared" si="0"/>
        <v>10</v>
      </c>
      <c r="E9" s="1">
        <v>15</v>
      </c>
    </row>
    <row r="10" spans="1:6" ht="15.6" x14ac:dyDescent="0.3">
      <c r="A10" t="s">
        <v>13</v>
      </c>
      <c r="B10" s="1">
        <v>17</v>
      </c>
      <c r="C10" s="2">
        <f t="shared" si="0"/>
        <v>11</v>
      </c>
      <c r="D10" s="2">
        <f t="shared" si="0"/>
        <v>12</v>
      </c>
      <c r="E10" s="1">
        <v>18</v>
      </c>
      <c r="F10" t="s">
        <v>24</v>
      </c>
    </row>
    <row r="11" spans="1:6" ht="15.6" x14ac:dyDescent="0.3">
      <c r="A11" t="s">
        <v>14</v>
      </c>
      <c r="B11" s="1">
        <v>27</v>
      </c>
      <c r="C11" s="2">
        <f t="shared" si="0"/>
        <v>13</v>
      </c>
      <c r="D11" s="2">
        <f t="shared" si="0"/>
        <v>14</v>
      </c>
      <c r="E11" s="1" t="s">
        <v>6</v>
      </c>
      <c r="F11" t="s">
        <v>27</v>
      </c>
    </row>
    <row r="12" spans="1:6" ht="15.6" x14ac:dyDescent="0.3">
      <c r="A12" t="s">
        <v>17</v>
      </c>
      <c r="B12" s="1">
        <v>22</v>
      </c>
      <c r="C12" s="2">
        <f t="shared" si="0"/>
        <v>15</v>
      </c>
      <c r="D12" s="2">
        <f t="shared" si="0"/>
        <v>16</v>
      </c>
      <c r="E12" s="1">
        <v>23</v>
      </c>
      <c r="F12" t="s">
        <v>25</v>
      </c>
    </row>
    <row r="13" spans="1:6" ht="15.6" x14ac:dyDescent="0.3">
      <c r="B13" s="1" t="s">
        <v>5</v>
      </c>
      <c r="C13" s="2">
        <f t="shared" si="0"/>
        <v>17</v>
      </c>
      <c r="D13" s="2">
        <f t="shared" si="0"/>
        <v>18</v>
      </c>
      <c r="E13" s="1">
        <v>24</v>
      </c>
      <c r="F13" t="s">
        <v>26</v>
      </c>
    </row>
    <row r="14" spans="1:6" ht="15.6" x14ac:dyDescent="0.3">
      <c r="A14" t="s">
        <v>22</v>
      </c>
      <c r="B14" s="1">
        <v>10</v>
      </c>
      <c r="C14" s="2">
        <f t="shared" si="0"/>
        <v>19</v>
      </c>
      <c r="D14" s="2">
        <f t="shared" si="0"/>
        <v>20</v>
      </c>
      <c r="E14" s="1" t="s">
        <v>6</v>
      </c>
      <c r="F14" t="s">
        <v>20</v>
      </c>
    </row>
    <row r="15" spans="1:6" ht="15.6" x14ac:dyDescent="0.3">
      <c r="B15" s="1">
        <v>9</v>
      </c>
      <c r="C15" s="2">
        <f t="shared" si="0"/>
        <v>21</v>
      </c>
      <c r="D15" s="2">
        <f t="shared" si="0"/>
        <v>22</v>
      </c>
      <c r="E15" s="1">
        <v>25</v>
      </c>
      <c r="F15" t="s">
        <v>28</v>
      </c>
    </row>
    <row r="16" spans="1:6" ht="15.6" x14ac:dyDescent="0.3">
      <c r="A16" t="s">
        <v>23</v>
      </c>
      <c r="B16" s="1">
        <v>11</v>
      </c>
      <c r="C16" s="2">
        <f t="shared" si="0"/>
        <v>23</v>
      </c>
      <c r="D16" s="2">
        <f t="shared" si="0"/>
        <v>24</v>
      </c>
      <c r="E16" s="1">
        <v>8</v>
      </c>
      <c r="F16" t="s">
        <v>29</v>
      </c>
    </row>
    <row r="17" spans="1:6" ht="15.6" x14ac:dyDescent="0.3">
      <c r="A17" t="s">
        <v>27</v>
      </c>
      <c r="B17" s="1" t="s">
        <v>6</v>
      </c>
      <c r="C17" s="2">
        <f t="shared" si="0"/>
        <v>25</v>
      </c>
      <c r="D17" s="2">
        <f t="shared" si="0"/>
        <v>26</v>
      </c>
      <c r="E17" s="1">
        <v>7</v>
      </c>
    </row>
    <row r="18" spans="1:6" ht="15.6" x14ac:dyDescent="0.3">
      <c r="B18" s="1">
        <v>0</v>
      </c>
      <c r="C18" s="2">
        <f t="shared" si="0"/>
        <v>27</v>
      </c>
      <c r="D18" s="2">
        <f t="shared" si="0"/>
        <v>28</v>
      </c>
      <c r="E18" s="1">
        <v>1</v>
      </c>
    </row>
    <row r="19" spans="1:6" ht="15.6" x14ac:dyDescent="0.3">
      <c r="A19" t="s">
        <v>15</v>
      </c>
      <c r="B19" s="1">
        <v>5</v>
      </c>
      <c r="C19" s="2">
        <f t="shared" ref="C19:C24" si="1">C18+2</f>
        <v>29</v>
      </c>
      <c r="D19" s="2">
        <f t="shared" ref="D19:D24" si="2">D18+2</f>
        <v>30</v>
      </c>
      <c r="E19" s="1" t="s">
        <v>6</v>
      </c>
    </row>
    <row r="20" spans="1:6" ht="15.6" x14ac:dyDescent="0.3">
      <c r="A20" t="s">
        <v>16</v>
      </c>
      <c r="B20" s="1">
        <v>6</v>
      </c>
      <c r="C20" s="2">
        <f t="shared" si="1"/>
        <v>31</v>
      </c>
      <c r="D20" s="2">
        <f t="shared" si="2"/>
        <v>32</v>
      </c>
      <c r="E20" s="1">
        <v>12</v>
      </c>
      <c r="F20" t="s">
        <v>30</v>
      </c>
    </row>
    <row r="21" spans="1:6" ht="15.6" x14ac:dyDescent="0.3">
      <c r="A21" t="s">
        <v>18</v>
      </c>
      <c r="B21" s="1">
        <v>13</v>
      </c>
      <c r="C21" s="2">
        <f t="shared" si="1"/>
        <v>33</v>
      </c>
      <c r="D21" s="2">
        <f t="shared" si="2"/>
        <v>34</v>
      </c>
      <c r="E21" s="1" t="s">
        <v>6</v>
      </c>
    </row>
    <row r="22" spans="1:6" ht="15.6" x14ac:dyDescent="0.3">
      <c r="A22" t="s">
        <v>19</v>
      </c>
      <c r="B22" s="1">
        <v>19</v>
      </c>
      <c r="C22" s="2">
        <f t="shared" si="1"/>
        <v>35</v>
      </c>
      <c r="D22" s="2">
        <f t="shared" si="2"/>
        <v>36</v>
      </c>
      <c r="E22" s="1">
        <v>16</v>
      </c>
      <c r="F22" t="s">
        <v>31</v>
      </c>
    </row>
    <row r="23" spans="1:6" ht="15.6" x14ac:dyDescent="0.3">
      <c r="A23" t="s">
        <v>21</v>
      </c>
      <c r="B23" s="1">
        <v>26</v>
      </c>
      <c r="C23" s="2">
        <f t="shared" si="1"/>
        <v>37</v>
      </c>
      <c r="D23" s="2">
        <f t="shared" si="2"/>
        <v>38</v>
      </c>
      <c r="E23" s="1">
        <v>20</v>
      </c>
      <c r="F23" t="s">
        <v>32</v>
      </c>
    </row>
    <row r="24" spans="1:6" ht="15.6" x14ac:dyDescent="0.3">
      <c r="A24" t="s">
        <v>35</v>
      </c>
      <c r="B24" s="1" t="s">
        <v>6</v>
      </c>
      <c r="C24" s="2">
        <f t="shared" si="1"/>
        <v>39</v>
      </c>
      <c r="D24" s="2">
        <f t="shared" si="2"/>
        <v>40</v>
      </c>
      <c r="E24" s="1">
        <v>21</v>
      </c>
      <c r="F24" t="s">
        <v>33</v>
      </c>
    </row>
  </sheetData>
  <pageMargins left="0.7" right="0.7" top="0.75" bottom="0.75" header="0.3" footer="0.3"/>
  <pageSetup scale="96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BBD3-141B-414D-957B-63A3A174D36F}">
  <dimension ref="A1:J32"/>
  <sheetViews>
    <sheetView workbookViewId="0">
      <selection activeCell="J1" sqref="J1"/>
    </sheetView>
  </sheetViews>
  <sheetFormatPr defaultRowHeight="14.4" x14ac:dyDescent="0.3"/>
  <cols>
    <col min="1" max="1" width="29.88671875" customWidth="1"/>
    <col min="2" max="2" width="14.44140625" style="1" customWidth="1"/>
    <col min="3" max="5" width="11.33203125" style="1" customWidth="1"/>
    <col min="6" max="6" width="15.5546875" bestFit="1" customWidth="1"/>
  </cols>
  <sheetData>
    <row r="1" spans="1:10" x14ac:dyDescent="0.3">
      <c r="A1" t="s">
        <v>0</v>
      </c>
      <c r="I1">
        <v>0</v>
      </c>
      <c r="J1" t="s">
        <v>46</v>
      </c>
    </row>
    <row r="2" spans="1:10" x14ac:dyDescent="0.3">
      <c r="B2" s="1" t="s">
        <v>1</v>
      </c>
      <c r="I2">
        <v>1</v>
      </c>
      <c r="J2" t="s">
        <v>47</v>
      </c>
    </row>
    <row r="3" spans="1:10" x14ac:dyDescent="0.3">
      <c r="I3">
        <v>2</v>
      </c>
      <c r="J3" t="s">
        <v>48</v>
      </c>
    </row>
    <row r="4" spans="1:10" x14ac:dyDescent="0.3">
      <c r="A4" s="3" t="s">
        <v>2</v>
      </c>
      <c r="B4" s="4" t="s">
        <v>3</v>
      </c>
      <c r="C4" s="4" t="s">
        <v>4</v>
      </c>
      <c r="D4" s="4" t="s">
        <v>4</v>
      </c>
      <c r="E4" s="4" t="s">
        <v>3</v>
      </c>
      <c r="F4" s="3" t="s">
        <v>2</v>
      </c>
      <c r="I4">
        <v>3</v>
      </c>
      <c r="J4" t="s">
        <v>49</v>
      </c>
    </row>
    <row r="5" spans="1:10" ht="15.6" x14ac:dyDescent="0.3">
      <c r="A5" t="s">
        <v>34</v>
      </c>
      <c r="B5" s="1" t="s">
        <v>5</v>
      </c>
      <c r="C5" s="2">
        <v>1</v>
      </c>
      <c r="D5" s="2">
        <v>2</v>
      </c>
      <c r="E5" s="1" t="s">
        <v>7</v>
      </c>
      <c r="F5" t="s">
        <v>11</v>
      </c>
      <c r="I5">
        <v>4</v>
      </c>
      <c r="J5" t="s">
        <v>50</v>
      </c>
    </row>
    <row r="6" spans="1:10" ht="15.6" x14ac:dyDescent="0.3">
      <c r="A6" t="s">
        <v>8</v>
      </c>
      <c r="B6" s="1">
        <v>2</v>
      </c>
      <c r="C6" s="2">
        <f>C5+2</f>
        <v>3</v>
      </c>
      <c r="D6" s="2">
        <f>D5+2</f>
        <v>4</v>
      </c>
      <c r="E6" s="1" t="s">
        <v>7</v>
      </c>
      <c r="I6">
        <v>5</v>
      </c>
      <c r="J6" t="s">
        <v>51</v>
      </c>
    </row>
    <row r="7" spans="1:10" ht="15.6" x14ac:dyDescent="0.3">
      <c r="A7" t="s">
        <v>9</v>
      </c>
      <c r="B7" s="1">
        <v>3</v>
      </c>
      <c r="C7" s="2">
        <f t="shared" ref="C7:D22" si="0">C6+2</f>
        <v>5</v>
      </c>
      <c r="D7" s="2">
        <f t="shared" si="0"/>
        <v>6</v>
      </c>
      <c r="E7" s="1" t="s">
        <v>6</v>
      </c>
      <c r="F7" t="s">
        <v>12</v>
      </c>
      <c r="I7">
        <v>6</v>
      </c>
      <c r="J7" t="s">
        <v>52</v>
      </c>
    </row>
    <row r="8" spans="1:10" ht="15.6" x14ac:dyDescent="0.3">
      <c r="A8" t="s">
        <v>10</v>
      </c>
      <c r="B8" s="1">
        <v>4</v>
      </c>
      <c r="C8" s="2">
        <f t="shared" si="0"/>
        <v>7</v>
      </c>
      <c r="D8" s="2">
        <f t="shared" si="0"/>
        <v>8</v>
      </c>
      <c r="E8" s="1">
        <v>14</v>
      </c>
      <c r="F8" t="s">
        <v>41</v>
      </c>
      <c r="I8">
        <v>7</v>
      </c>
      <c r="J8" t="s">
        <v>53</v>
      </c>
    </row>
    <row r="9" spans="1:10" ht="15.6" x14ac:dyDescent="0.3">
      <c r="B9" s="1" t="s">
        <v>6</v>
      </c>
      <c r="C9" s="2">
        <f t="shared" si="0"/>
        <v>9</v>
      </c>
      <c r="D9" s="2">
        <f t="shared" si="0"/>
        <v>10</v>
      </c>
      <c r="E9" s="1">
        <v>15</v>
      </c>
      <c r="F9" t="s">
        <v>40</v>
      </c>
      <c r="I9">
        <v>8</v>
      </c>
      <c r="J9" t="s">
        <v>54</v>
      </c>
    </row>
    <row r="10" spans="1:10" ht="15.6" x14ac:dyDescent="0.3">
      <c r="A10" t="s">
        <v>13</v>
      </c>
      <c r="B10" s="1">
        <v>17</v>
      </c>
      <c r="C10" s="2">
        <f t="shared" si="0"/>
        <v>11</v>
      </c>
      <c r="D10" s="2">
        <f t="shared" si="0"/>
        <v>12</v>
      </c>
      <c r="E10" s="1">
        <v>18</v>
      </c>
      <c r="F10" t="s">
        <v>24</v>
      </c>
      <c r="I10">
        <v>9</v>
      </c>
      <c r="J10" t="s">
        <v>55</v>
      </c>
    </row>
    <row r="11" spans="1:10" ht="15.6" x14ac:dyDescent="0.3">
      <c r="A11" t="s">
        <v>14</v>
      </c>
      <c r="B11" s="1">
        <v>27</v>
      </c>
      <c r="C11" s="2">
        <f t="shared" si="0"/>
        <v>13</v>
      </c>
      <c r="D11" s="2">
        <f t="shared" si="0"/>
        <v>14</v>
      </c>
      <c r="E11" s="1" t="s">
        <v>6</v>
      </c>
      <c r="F11" t="s">
        <v>27</v>
      </c>
      <c r="I11">
        <v>10</v>
      </c>
      <c r="J11" t="s">
        <v>56</v>
      </c>
    </row>
    <row r="12" spans="1:10" ht="15.6" x14ac:dyDescent="0.3">
      <c r="A12" t="s">
        <v>17</v>
      </c>
      <c r="B12" s="1">
        <v>22</v>
      </c>
      <c r="C12" s="2">
        <f t="shared" si="0"/>
        <v>15</v>
      </c>
      <c r="D12" s="2">
        <f t="shared" si="0"/>
        <v>16</v>
      </c>
      <c r="E12" s="1">
        <v>23</v>
      </c>
      <c r="F12" t="s">
        <v>25</v>
      </c>
      <c r="I12">
        <v>11</v>
      </c>
      <c r="J12" t="s">
        <v>57</v>
      </c>
    </row>
    <row r="13" spans="1:10" ht="15.6" x14ac:dyDescent="0.3">
      <c r="B13" s="1" t="s">
        <v>5</v>
      </c>
      <c r="C13" s="2">
        <f t="shared" si="0"/>
        <v>17</v>
      </c>
      <c r="D13" s="2">
        <f t="shared" si="0"/>
        <v>18</v>
      </c>
      <c r="E13" s="1">
        <v>24</v>
      </c>
      <c r="F13" t="s">
        <v>26</v>
      </c>
      <c r="I13">
        <v>12</v>
      </c>
      <c r="J13" t="s">
        <v>58</v>
      </c>
    </row>
    <row r="14" spans="1:10" ht="15.6" x14ac:dyDescent="0.3">
      <c r="A14" t="s">
        <v>38</v>
      </c>
      <c r="B14" s="1">
        <v>10</v>
      </c>
      <c r="C14" s="2">
        <f t="shared" si="0"/>
        <v>19</v>
      </c>
      <c r="D14" s="2">
        <f t="shared" si="0"/>
        <v>20</v>
      </c>
      <c r="E14" s="1" t="s">
        <v>6</v>
      </c>
      <c r="F14" t="s">
        <v>20</v>
      </c>
      <c r="I14">
        <v>13</v>
      </c>
      <c r="J14" t="s">
        <v>59</v>
      </c>
    </row>
    <row r="15" spans="1:10" ht="15.6" x14ac:dyDescent="0.3">
      <c r="A15" t="s">
        <v>39</v>
      </c>
      <c r="B15" s="1">
        <v>9</v>
      </c>
      <c r="C15" s="2">
        <f t="shared" si="0"/>
        <v>21</v>
      </c>
      <c r="D15" s="2">
        <f t="shared" si="0"/>
        <v>22</v>
      </c>
      <c r="E15" s="1">
        <v>25</v>
      </c>
      <c r="F15" t="s">
        <v>28</v>
      </c>
      <c r="I15">
        <v>14</v>
      </c>
      <c r="J15" t="s">
        <v>60</v>
      </c>
    </row>
    <row r="16" spans="1:10" ht="15.6" x14ac:dyDescent="0.3">
      <c r="A16" t="s">
        <v>44</v>
      </c>
      <c r="B16" s="1">
        <v>11</v>
      </c>
      <c r="C16" s="2">
        <f t="shared" si="0"/>
        <v>23</v>
      </c>
      <c r="D16" s="2">
        <f t="shared" si="0"/>
        <v>24</v>
      </c>
      <c r="E16" s="1">
        <v>8</v>
      </c>
      <c r="F16" t="s">
        <v>29</v>
      </c>
      <c r="I16">
        <v>15</v>
      </c>
      <c r="J16" t="s">
        <v>61</v>
      </c>
    </row>
    <row r="17" spans="1:10" ht="15.6" x14ac:dyDescent="0.3">
      <c r="A17" t="s">
        <v>27</v>
      </c>
      <c r="B17" s="1" t="s">
        <v>6</v>
      </c>
      <c r="C17" s="2">
        <f t="shared" si="0"/>
        <v>25</v>
      </c>
      <c r="D17" s="2">
        <f t="shared" si="0"/>
        <v>26</v>
      </c>
      <c r="E17" s="1">
        <v>7</v>
      </c>
      <c r="F17" t="s">
        <v>42</v>
      </c>
      <c r="I17">
        <v>16</v>
      </c>
      <c r="J17" t="s">
        <v>62</v>
      </c>
    </row>
    <row r="18" spans="1:10" ht="15.6" x14ac:dyDescent="0.3">
      <c r="A18" t="s">
        <v>37</v>
      </c>
      <c r="B18" s="1">
        <v>0</v>
      </c>
      <c r="C18" s="2">
        <f t="shared" si="0"/>
        <v>27</v>
      </c>
      <c r="D18" s="2">
        <f t="shared" si="0"/>
        <v>28</v>
      </c>
      <c r="E18" s="1">
        <v>1</v>
      </c>
      <c r="F18" t="s">
        <v>43</v>
      </c>
      <c r="I18">
        <v>17</v>
      </c>
      <c r="J18" t="s">
        <v>63</v>
      </c>
    </row>
    <row r="19" spans="1:10" ht="15.6" x14ac:dyDescent="0.3">
      <c r="A19" t="s">
        <v>15</v>
      </c>
      <c r="B19" s="1">
        <v>5</v>
      </c>
      <c r="C19" s="2">
        <f t="shared" si="0"/>
        <v>29</v>
      </c>
      <c r="D19" s="2">
        <f t="shared" si="0"/>
        <v>30</v>
      </c>
      <c r="E19" s="1" t="s">
        <v>6</v>
      </c>
      <c r="I19">
        <v>18</v>
      </c>
      <c r="J19" t="s">
        <v>64</v>
      </c>
    </row>
    <row r="20" spans="1:10" ht="15.6" x14ac:dyDescent="0.3">
      <c r="A20" t="s">
        <v>16</v>
      </c>
      <c r="B20" s="1">
        <v>6</v>
      </c>
      <c r="C20" s="2">
        <f t="shared" si="0"/>
        <v>31</v>
      </c>
      <c r="D20" s="2">
        <f t="shared" si="0"/>
        <v>32</v>
      </c>
      <c r="E20" s="1">
        <v>12</v>
      </c>
      <c r="F20" t="s">
        <v>30</v>
      </c>
      <c r="I20">
        <v>19</v>
      </c>
      <c r="J20" t="s">
        <v>65</v>
      </c>
    </row>
    <row r="21" spans="1:10" ht="15.6" x14ac:dyDescent="0.3">
      <c r="A21" t="s">
        <v>18</v>
      </c>
      <c r="B21" s="1">
        <v>13</v>
      </c>
      <c r="C21" s="2">
        <f t="shared" si="0"/>
        <v>33</v>
      </c>
      <c r="D21" s="2">
        <f t="shared" si="0"/>
        <v>34</v>
      </c>
      <c r="E21" s="1" t="s">
        <v>6</v>
      </c>
      <c r="I21">
        <v>20</v>
      </c>
      <c r="J21" t="s">
        <v>66</v>
      </c>
    </row>
    <row r="22" spans="1:10" ht="15.6" x14ac:dyDescent="0.3">
      <c r="A22" t="s">
        <v>19</v>
      </c>
      <c r="B22" s="1">
        <v>19</v>
      </c>
      <c r="C22" s="2">
        <f t="shared" si="0"/>
        <v>35</v>
      </c>
      <c r="D22" s="2">
        <f t="shared" si="0"/>
        <v>36</v>
      </c>
      <c r="E22" s="1">
        <v>16</v>
      </c>
      <c r="F22" t="s">
        <v>31</v>
      </c>
      <c r="I22">
        <v>21</v>
      </c>
      <c r="J22" t="s">
        <v>67</v>
      </c>
    </row>
    <row r="23" spans="1:10" ht="15.6" x14ac:dyDescent="0.3">
      <c r="A23" t="s">
        <v>45</v>
      </c>
      <c r="B23" s="1">
        <v>26</v>
      </c>
      <c r="C23" s="2">
        <f t="shared" ref="C23:D24" si="1">C22+2</f>
        <v>37</v>
      </c>
      <c r="D23" s="2">
        <f t="shared" si="1"/>
        <v>38</v>
      </c>
      <c r="E23" s="1">
        <v>20</v>
      </c>
      <c r="F23" t="s">
        <v>32</v>
      </c>
      <c r="I23">
        <v>22</v>
      </c>
      <c r="J23" t="s">
        <v>68</v>
      </c>
    </row>
    <row r="24" spans="1:10" ht="15.6" x14ac:dyDescent="0.3">
      <c r="A24" t="s">
        <v>36</v>
      </c>
      <c r="B24" s="1" t="s">
        <v>6</v>
      </c>
      <c r="C24" s="2">
        <v>1</v>
      </c>
      <c r="D24" s="2">
        <f t="shared" si="1"/>
        <v>40</v>
      </c>
      <c r="E24" s="1">
        <v>21</v>
      </c>
      <c r="F24" t="s">
        <v>33</v>
      </c>
      <c r="I24">
        <v>23</v>
      </c>
    </row>
    <row r="25" spans="1:10" x14ac:dyDescent="0.3">
      <c r="I25">
        <v>24</v>
      </c>
      <c r="J25" t="s">
        <v>69</v>
      </c>
    </row>
    <row r="26" spans="1:10" x14ac:dyDescent="0.3">
      <c r="I26">
        <v>25</v>
      </c>
      <c r="J26" t="s">
        <v>70</v>
      </c>
    </row>
    <row r="27" spans="1:10" x14ac:dyDescent="0.3">
      <c r="I27">
        <v>26</v>
      </c>
      <c r="J27" t="s">
        <v>71</v>
      </c>
    </row>
    <row r="28" spans="1:10" x14ac:dyDescent="0.3">
      <c r="I28">
        <v>27</v>
      </c>
      <c r="J28" t="s">
        <v>72</v>
      </c>
    </row>
    <row r="29" spans="1:10" x14ac:dyDescent="0.3">
      <c r="I29">
        <v>28</v>
      </c>
    </row>
    <row r="30" spans="1:10" x14ac:dyDescent="0.3">
      <c r="I30">
        <v>29</v>
      </c>
      <c r="J30" s="5" t="s">
        <v>73</v>
      </c>
    </row>
    <row r="31" spans="1:10" x14ac:dyDescent="0.3">
      <c r="I31">
        <v>30</v>
      </c>
      <c r="J31" t="s">
        <v>74</v>
      </c>
    </row>
    <row r="32" spans="1:10" x14ac:dyDescent="0.3">
      <c r="I32">
        <v>31</v>
      </c>
      <c r="J3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A796-617F-4C03-913E-9AD2E7D1581B}">
  <dimension ref="A1:H6"/>
  <sheetViews>
    <sheetView tabSelected="1" workbookViewId="0">
      <selection activeCell="A7" sqref="A7"/>
    </sheetView>
  </sheetViews>
  <sheetFormatPr defaultRowHeight="14.4" x14ac:dyDescent="0.3"/>
  <sheetData>
    <row r="1" spans="1:8" x14ac:dyDescent="0.3">
      <c r="A1" t="s">
        <v>77</v>
      </c>
      <c r="H1" t="s">
        <v>79</v>
      </c>
    </row>
    <row r="2" spans="1:8" x14ac:dyDescent="0.3">
      <c r="A2" t="s">
        <v>76</v>
      </c>
      <c r="H2" t="s">
        <v>82</v>
      </c>
    </row>
    <row r="3" spans="1:8" x14ac:dyDescent="0.3">
      <c r="A3" t="s">
        <v>78</v>
      </c>
      <c r="H3" t="s">
        <v>83</v>
      </c>
    </row>
    <row r="4" spans="1:8" x14ac:dyDescent="0.3">
      <c r="A4" t="s">
        <v>81</v>
      </c>
    </row>
    <row r="5" spans="1:8" x14ac:dyDescent="0.3">
      <c r="A5" t="s">
        <v>80</v>
      </c>
    </row>
    <row r="6" spans="1:8" x14ac:dyDescent="0.3">
      <c r="A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StereoPylot SR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Mulatz</dc:creator>
  <cp:lastModifiedBy>Kirk Mulatz</cp:lastModifiedBy>
  <cp:lastPrinted>2026-03-07T02:03:15Z</cp:lastPrinted>
  <dcterms:created xsi:type="dcterms:W3CDTF">2025-10-24T02:26:16Z</dcterms:created>
  <dcterms:modified xsi:type="dcterms:W3CDTF">2026-03-11T04:02:00Z</dcterms:modified>
</cp:coreProperties>
</file>